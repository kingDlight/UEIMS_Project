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uth User Data" sheetId="3" state="visible" r:id="rId3"/>
    <sheet xmlns:r="http://schemas.openxmlformats.org/officeDocument/2006/relationships" name="Student Data" sheetId="4" state="visible" r:id="rId4"/>
    <sheet xmlns:r="http://schemas.openxmlformats.org/officeDocument/2006/relationships" name="Department Event Data" sheetId="5" state="visible" r:id="rId5"/>
    <sheet xmlns:r="http://schemas.openxmlformats.org/officeDocument/2006/relationships" name="Proposal Approval Data" sheetId="6" state="visible" r:id="rId6"/>
    <sheet xmlns:r="http://schemas.openxmlformats.org/officeDocument/2006/relationships" name="Registration RBL Data" sheetId="7" state="visible" r:id="rId7"/>
    <sheet xmlns:r="http://schemas.openxmlformats.org/officeDocument/2006/relationships" name="Attendance QR Data" sheetId="8" state="visible" r:id="rId8"/>
    <sheet xmlns:r="http://schemas.openxmlformats.org/officeDocument/2006/relationships" name="Quiz Feedback Data" sheetId="9" state="visible" r:id="rId9"/>
    <sheet xmlns:r="http://schemas.openxmlformats.org/officeDocument/2006/relationships" name="Dashboard Report Data" sheetId="10" state="visible" r:id="rId10"/>
    <sheet xmlns:r="http://schemas.openxmlformats.org/officeDocument/2006/relationships" name="Security Negative Data" sheetId="11" state="visible" r:id="rId11"/>
  </sheets>
  <definedNames>
    <definedName name="_xlnm._FilterDatabase" localSheetId="1" hidden="1">'Test Cases'!$A$1:$O$69</definedName>
    <definedName name="_xlnm._FilterDatabase" localSheetId="2" hidden="1">'Auth User Data'!$A$1:$F$8</definedName>
    <definedName name="_xlnm._FilterDatabase" localSheetId="3" hidden="1">'Student Data'!$A$1:$I$9</definedName>
    <definedName name="_xlnm._FilterDatabase" localSheetId="4" hidden="1">'Department Event Data'!$A$1:$L$7</definedName>
    <definedName name="_xlnm._FilterDatabase" localSheetId="5" hidden="1">'Proposal Approval Data'!$A$1:$H$15</definedName>
    <definedName name="_xlnm._FilterDatabase" localSheetId="6" hidden="1">'Registration RBL Data'!$A$1:$H$16</definedName>
    <definedName name="_xlnm._FilterDatabase" localSheetId="7" hidden="1">'Attendance QR Data'!$A$1:$J$9</definedName>
    <definedName name="_xlnm._FilterDatabase" localSheetId="8" hidden="1">'Quiz Feedback Data'!$A$1:$H$8</definedName>
    <definedName name="_xlnm._FilterDatabase" localSheetId="9" hidden="1">'Dashboard Report Data'!$A$1:$E$5</definedName>
    <definedName name="_xlnm._FilterDatabase" localSheetId="10" hidden="1">'Security Negative 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AEMS Test Cases &amp; Test Data Dashboard</t>
        </is>
      </c>
    </row>
    <row r="3">
      <c r="A3" s="2" t="inlineStr">
        <is>
          <t>Total Test Cases</t>
        </is>
      </c>
      <c r="B3" s="2">
        <f>COUNTA('Test Cases'!A2:A69)</f>
        <v/>
      </c>
      <c r="C3" s="2" t="n"/>
      <c r="D3" s="2" t="n"/>
      <c r="E3" s="2" t="n"/>
    </row>
    <row r="4">
      <c r="A4" s="2" t="inlineStr">
        <is>
          <t>Total Test Data Records</t>
        </is>
      </c>
      <c r="B4" s="2">
        <f>COUNTA('Auth User Data'!A2:A100)+COUNTA('Student Data'!A2:A100)+COUNTA('Department Event Data'!A2:A100)+COUNTA('Proposal Approval Data'!A2:A100)+COUNTA('Registration RBL Data'!A2:A100)+COUNTA('Attendance QR Data'!A2:A100)+COUNTA('Quiz Feedback Data'!A2:A100)+COUNTA('Dashboard Report Data'!A2:A100)+COUNTA('Security Negative Data'!A2:A100)</f>
        <v/>
      </c>
      <c r="C4" s="2" t="n"/>
      <c r="D4" s="2" t="n"/>
      <c r="E4" s="2" t="n"/>
    </row>
    <row r="5">
      <c r="A5" s="2" t="inlineStr">
        <is>
          <t>Not Started</t>
        </is>
      </c>
      <c r="B5" s="2">
        <f>COUNTIF('Test Cases'!M2:M69,"Not Started")</f>
        <v/>
      </c>
      <c r="C5" s="2" t="n"/>
      <c r="D5" s="2" t="n"/>
      <c r="E5" s="2" t="n"/>
    </row>
    <row r="6">
      <c r="A6" s="2" t="inlineStr">
        <is>
          <t>In Progress</t>
        </is>
      </c>
      <c r="B6" s="2">
        <f>COUNTIF('Test Cases'!M2:M69,"In Progress")</f>
        <v/>
      </c>
      <c r="C6" s="2" t="n"/>
      <c r="D6" s="2" t="n"/>
      <c r="E6" s="2" t="n"/>
    </row>
    <row r="7">
      <c r="A7" s="2" t="inlineStr">
        <is>
          <t>Passed</t>
        </is>
      </c>
      <c r="B7" s="2">
        <f>COUNTIF('Test Cases'!M2:M69,"Passed")</f>
        <v/>
      </c>
      <c r="C7" s="2" t="n"/>
      <c r="D7" s="2" t="n"/>
      <c r="E7" s="2" t="n"/>
    </row>
    <row r="8">
      <c r="A8" s="2" t="inlineStr">
        <is>
          <t>Failed</t>
        </is>
      </c>
      <c r="B8" s="2">
        <f>COUNTIF('Test Cases'!M2:M69,"Failed")</f>
        <v/>
      </c>
      <c r="C8" s="2" t="n"/>
      <c r="D8" s="2" t="n"/>
      <c r="E8" s="2" t="n"/>
    </row>
    <row r="9">
      <c r="A9" s="2" t="inlineStr">
        <is>
          <t>Blocked</t>
        </is>
      </c>
      <c r="B9" s="2">
        <f>COUNTIF('Test Cases'!M2:M69,"Blocked")</f>
        <v/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3" t="inlineStr">
        <is>
          <t>Test Cases by Member</t>
        </is>
      </c>
      <c r="B12" s="2" t="n"/>
      <c r="C12" s="2" t="n"/>
      <c r="D12" s="3" t="inlineStr">
        <is>
          <t>Test Cases by Priority</t>
        </is>
      </c>
      <c r="E12" s="2" t="n"/>
    </row>
    <row r="13">
      <c r="A13" s="2" t="inlineStr">
        <is>
          <t>DatHVT</t>
        </is>
      </c>
      <c r="B13" s="2">
        <f>COUNTIF('Test Cases'!K2:K69,"DatHVT")</f>
        <v/>
      </c>
      <c r="C13" s="2" t="n"/>
      <c r="D13" s="2" t="inlineStr">
        <is>
          <t>High</t>
        </is>
      </c>
      <c r="E13" s="2">
        <f>COUNTIF('Test Cases'!J2:J69,"High")</f>
        <v/>
      </c>
    </row>
    <row r="14">
      <c r="A14" s="2" t="inlineStr">
        <is>
          <t>AnhNVT</t>
        </is>
      </c>
      <c r="B14" s="2">
        <f>COUNTIF('Test Cases'!K2:K69,"AnhNVT")</f>
        <v/>
      </c>
      <c r="C14" s="2" t="n"/>
      <c r="D14" s="2" t="inlineStr">
        <is>
          <t>Medium</t>
        </is>
      </c>
      <c r="E14" s="2">
        <f>COUNTIF('Test Cases'!J2:J69,"Medium")</f>
        <v/>
      </c>
    </row>
    <row r="15">
      <c r="A15" s="2" t="inlineStr">
        <is>
          <t>TuHNC</t>
        </is>
      </c>
      <c r="B15" s="2">
        <f>COUNTIF('Test Cases'!K2:K69,"TuHNC")</f>
        <v/>
      </c>
      <c r="C15" s="2" t="n"/>
      <c r="D15" s="2" t="inlineStr">
        <is>
          <t>Low</t>
        </is>
      </c>
      <c r="E15" s="2">
        <f>COUNTIF('Test Cases'!J2:J69,"Low")</f>
        <v/>
      </c>
    </row>
    <row r="16">
      <c r="A16" s="2" t="inlineStr">
        <is>
          <t>SangTM</t>
        </is>
      </c>
      <c r="B16" s="2">
        <f>COUNTIF('Test Cases'!K2:K69,"SangTM")</f>
        <v/>
      </c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4" customWidth="1" min="3" max="3"/>
    <col width="42" customWidth="1" min="4" max="4"/>
    <col width="36" customWidth="1" min="5" max="5"/>
    <col width="52" customWidth="1" min="6" max="6"/>
    <col width="18" customWidth="1" min="7" max="7"/>
    <col width="36" customWidth="1" min="8" max="8"/>
    <col width="48" customWidth="1" min="9" max="9"/>
    <col width="12" customWidth="1" min="10" max="10"/>
    <col width="14" customWidth="1" min="11" max="11"/>
    <col width="12" customWidth="1" min="12" max="12"/>
    <col width="16" customWidth="1" min="13" max="13"/>
    <col width="30" customWidth="1" min="14" max="14"/>
    <col width="30" customWidth="1" min="15" max="15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Test Case Name</t>
        </is>
      </c>
      <c r="D1" s="4" t="inlineStr">
        <is>
          <t>Objective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Test Data ID</t>
        </is>
      </c>
      <c r="H1" s="4" t="inlineStr">
        <is>
          <t>Test Data Detail</t>
        </is>
      </c>
      <c r="I1" s="4" t="inlineStr">
        <is>
          <t>Expected Result</t>
        </is>
      </c>
      <c r="J1" s="4" t="inlineStr">
        <is>
          <t>Priority</t>
        </is>
      </c>
      <c r="K1" s="4" t="inlineStr">
        <is>
          <t>Assigned To</t>
        </is>
      </c>
      <c r="L1" s="4" t="inlineStr">
        <is>
          <t>Week</t>
        </is>
      </c>
      <c r="M1" s="4" t="inlineStr">
        <is>
          <t>Status</t>
        </is>
      </c>
      <c r="N1" s="4" t="inlineStr">
        <is>
          <t>Actual Result</t>
        </is>
      </c>
      <c r="O1" s="4" t="inlineStr">
        <is>
          <t>Notes</t>
        </is>
      </c>
    </row>
    <row r="2">
      <c r="A2" s="5" t="inlineStr">
        <is>
          <t>AUTH-001</t>
        </is>
      </c>
      <c r="B2" s="5" t="inlineStr">
        <is>
          <t>Authentication &amp; Role</t>
        </is>
      </c>
      <c r="C2" s="5" t="inlineStr">
        <is>
          <t>Login with valid Student account</t>
        </is>
      </c>
      <c r="D2" s="5" t="inlineStr">
        <is>
          <t>Verify student can log in successfully.</t>
        </is>
      </c>
      <c r="E2" s="5" t="inlineStr">
        <is>
          <t>Student account exists and is active.</t>
        </is>
      </c>
      <c r="F2" s="5" t="inlineStr">
        <is>
          <t>1. Open login page
2. Enter valid student email and password
3. Click Login</t>
        </is>
      </c>
      <c r="G2" s="5" t="inlineStr">
        <is>
          <t>TD-AUTH-004</t>
        </is>
      </c>
      <c r="H2" s="5" t="inlineStr">
        <is>
          <t>student1@fpt.edu.vn / Stu123@</t>
        </is>
      </c>
      <c r="I2" s="5" t="inlineStr">
        <is>
          <t>Redirect to Student dashboard.</t>
        </is>
      </c>
      <c r="J2" s="5" t="inlineStr">
        <is>
          <t>High</t>
        </is>
      </c>
      <c r="K2" s="5" t="inlineStr">
        <is>
          <t>DatHVT</t>
        </is>
      </c>
      <c r="L2" s="5" t="inlineStr">
        <is>
          <t>Week 1</t>
        </is>
      </c>
      <c r="M2" s="5" t="inlineStr">
        <is>
          <t>Not Started</t>
        </is>
      </c>
      <c r="N2" s="5" t="inlineStr"/>
      <c r="O2" s="5" t="inlineStr"/>
    </row>
    <row r="3">
      <c r="A3" s="5" t="inlineStr">
        <is>
          <t>AUTH-002</t>
        </is>
      </c>
      <c r="B3" s="5" t="inlineStr">
        <is>
          <t>Authentication &amp; Role</t>
        </is>
      </c>
      <c r="C3" s="5" t="inlineStr">
        <is>
          <t>Login with valid Department account</t>
        </is>
      </c>
      <c r="D3" s="5" t="inlineStr">
        <is>
          <t>Verify Department can access department dashboard.</t>
        </is>
      </c>
      <c r="E3" s="5" t="inlineStr">
        <is>
          <t>Department account exists and is active.</t>
        </is>
      </c>
      <c r="F3" s="5" t="inlineStr">
        <is>
          <t>1. Open login page
2. Enter valid department account
3. Click Login</t>
        </is>
      </c>
      <c r="G3" s="5" t="inlineStr">
        <is>
          <t>TD-AUTH-002</t>
        </is>
      </c>
      <c r="H3" s="5" t="inlineStr">
        <is>
          <t>department@aems.com / Dept123@</t>
        </is>
      </c>
      <c r="I3" s="5" t="inlineStr">
        <is>
          <t>Redirect to Department dashboard.</t>
        </is>
      </c>
      <c r="J3" s="5" t="inlineStr">
        <is>
          <t>High</t>
        </is>
      </c>
      <c r="K3" s="5" t="inlineStr">
        <is>
          <t>DatHVT</t>
        </is>
      </c>
      <c r="L3" s="5" t="inlineStr">
        <is>
          <t>Week 1</t>
        </is>
      </c>
      <c r="M3" s="5" t="inlineStr">
        <is>
          <t>Not Started</t>
        </is>
      </c>
      <c r="N3" s="5" t="inlineStr"/>
      <c r="O3" s="5" t="inlineStr"/>
    </row>
    <row r="4">
      <c r="A4" s="5" t="inlineStr">
        <is>
          <t>AUTH-003</t>
        </is>
      </c>
      <c r="B4" s="5" t="inlineStr">
        <is>
          <t>Authentication &amp; Role</t>
        </is>
      </c>
      <c r="C4" s="5" t="inlineStr">
        <is>
          <t>Login with wrong password</t>
        </is>
      </c>
      <c r="D4" s="5" t="inlineStr">
        <is>
          <t>Verify invalid password is rejected.</t>
        </is>
      </c>
      <c r="E4" s="5" t="inlineStr">
        <is>
          <t>User account exists.</t>
        </is>
      </c>
      <c r="F4" s="5" t="inlineStr">
        <is>
          <t>1. Enter valid email
2. Enter wrong password
3. Click Login</t>
        </is>
      </c>
      <c r="G4" s="5" t="inlineStr">
        <is>
          <t>TD-AUTH-006</t>
        </is>
      </c>
      <c r="H4" s="5" t="inlineStr">
        <is>
          <t>student1@fpt.edu.vn / wrong123</t>
        </is>
      </c>
      <c r="I4" s="5" t="inlineStr">
        <is>
          <t>Show invalid email/password message.</t>
        </is>
      </c>
      <c r="J4" s="5" t="inlineStr">
        <is>
          <t>High</t>
        </is>
      </c>
      <c r="K4" s="5" t="inlineStr">
        <is>
          <t>DatHVT</t>
        </is>
      </c>
      <c r="L4" s="5" t="inlineStr">
        <is>
          <t>Week 1</t>
        </is>
      </c>
      <c r="M4" s="5" t="inlineStr">
        <is>
          <t>Not Started</t>
        </is>
      </c>
      <c r="N4" s="5" t="inlineStr"/>
      <c r="O4" s="5" t="inlineStr"/>
    </row>
    <row r="5">
      <c r="A5" s="5" t="inlineStr">
        <is>
          <t>AUTH-004</t>
        </is>
      </c>
      <c r="B5" s="5" t="inlineStr">
        <is>
          <t>Authentication &amp; Role</t>
        </is>
      </c>
      <c r="C5" s="5" t="inlineStr">
        <is>
          <t>Login with non-existing email</t>
        </is>
      </c>
      <c r="D5" s="5" t="inlineStr">
        <is>
          <t>Verify unknown account is rejected.</t>
        </is>
      </c>
      <c r="E5" s="5" t="inlineStr">
        <is>
          <t>Email does not exist.</t>
        </is>
      </c>
      <c r="F5" s="5" t="inlineStr">
        <is>
          <t>1. Enter unknown email
2. Enter password
3. Click Login</t>
        </is>
      </c>
      <c r="G5" s="5" t="inlineStr">
        <is>
          <t>TD-AUTH-007</t>
        </is>
      </c>
      <c r="H5" s="5" t="inlineStr">
        <is>
          <t>unknown@fpt.edu.vn / Stu123@</t>
        </is>
      </c>
      <c r="I5" s="5" t="inlineStr">
        <is>
          <t>Show invalid email/password message.</t>
        </is>
      </c>
      <c r="J5" s="5" t="inlineStr">
        <is>
          <t>Medium</t>
        </is>
      </c>
      <c r="K5" s="5" t="inlineStr">
        <is>
          <t>DatHVT</t>
        </is>
      </c>
      <c r="L5" s="5" t="inlineStr">
        <is>
          <t>Week 1</t>
        </is>
      </c>
      <c r="M5" s="5" t="inlineStr">
        <is>
          <t>Not Started</t>
        </is>
      </c>
      <c r="N5" s="5" t="inlineStr"/>
      <c r="O5" s="5" t="inlineStr"/>
    </row>
    <row r="6">
      <c r="A6" s="5" t="inlineStr">
        <is>
          <t>AUTH-005</t>
        </is>
      </c>
      <c r="B6" s="5" t="inlineStr">
        <is>
          <t>Authentication &amp; Role</t>
        </is>
      </c>
      <c r="C6" s="5" t="inlineStr">
        <is>
          <t>Logout from system</t>
        </is>
      </c>
      <c r="D6" s="5" t="inlineStr">
        <is>
          <t>Verify user can logout safely.</t>
        </is>
      </c>
      <c r="E6" s="5" t="inlineStr">
        <is>
          <t>User is logged in.</t>
        </is>
      </c>
      <c r="F6" s="5" t="inlineStr">
        <is>
          <t>1. Click Logout
2. Try previous protected page</t>
        </is>
      </c>
      <c r="G6" s="5" t="inlineStr">
        <is>
          <t>TD-AUTH-004</t>
        </is>
      </c>
      <c r="H6" s="5" t="inlineStr">
        <is>
          <t>Logged-in student account</t>
        </is>
      </c>
      <c r="I6" s="5" t="inlineStr">
        <is>
          <t>Redirect to login page.</t>
        </is>
      </c>
      <c r="J6" s="5" t="inlineStr">
        <is>
          <t>High</t>
        </is>
      </c>
      <c r="K6" s="5" t="inlineStr">
        <is>
          <t>DatHVT</t>
        </is>
      </c>
      <c r="L6" s="5" t="inlineStr">
        <is>
          <t>Week 1</t>
        </is>
      </c>
      <c r="M6" s="5" t="inlineStr">
        <is>
          <t>Not Started</t>
        </is>
      </c>
      <c r="N6" s="5" t="inlineStr"/>
      <c r="O6" s="5" t="inlineStr"/>
    </row>
    <row r="7">
      <c r="A7" s="5" t="inlineStr">
        <is>
          <t>AUTH-006</t>
        </is>
      </c>
      <c r="B7" s="5" t="inlineStr">
        <is>
          <t>Authentication &amp; Role</t>
        </is>
      </c>
      <c r="C7" s="5" t="inlineStr">
        <is>
          <t>Access page without login</t>
        </is>
      </c>
      <c r="D7" s="5" t="inlineStr">
        <is>
          <t>Verify protected pages require login.</t>
        </is>
      </c>
      <c r="E7" s="5" t="inlineStr">
        <is>
          <t>User is not logged in.</t>
        </is>
      </c>
      <c r="F7" s="5" t="inlineStr">
        <is>
          <t>1. Open protected URL directly
2. Observe result</t>
        </is>
      </c>
      <c r="G7" s="5" t="inlineStr">
        <is>
          <t>TD-SEC-001</t>
        </is>
      </c>
      <c r="H7" s="5" t="inlineStr">
        <is>
          <t>/student/events or /department/dashboard</t>
        </is>
      </c>
      <c r="I7" s="5" t="inlineStr">
        <is>
          <t>Redirect to login page.</t>
        </is>
      </c>
      <c r="J7" s="5" t="inlineStr">
        <is>
          <t>High</t>
        </is>
      </c>
      <c r="K7" s="5" t="inlineStr">
        <is>
          <t>DatHVT</t>
        </is>
      </c>
      <c r="L7" s="5" t="inlineStr">
        <is>
          <t>Week 2</t>
        </is>
      </c>
      <c r="M7" s="5" t="inlineStr">
        <is>
          <t>Not Started</t>
        </is>
      </c>
      <c r="N7" s="5" t="inlineStr"/>
      <c r="O7" s="5" t="inlineStr"/>
    </row>
    <row r="8">
      <c r="A8" s="5" t="inlineStr">
        <is>
          <t>AUTH-007</t>
        </is>
      </c>
      <c r="B8" s="5" t="inlineStr">
        <is>
          <t>Authentication &amp; Role</t>
        </is>
      </c>
      <c r="C8" s="5" t="inlineStr">
        <is>
          <t>Student accesses Department page</t>
        </is>
      </c>
      <c r="D8" s="5" t="inlineStr">
        <is>
          <t>Verify role-based access control.</t>
        </is>
      </c>
      <c r="E8" s="5" t="inlineStr">
        <is>
          <t>Student is logged in.</t>
        </is>
      </c>
      <c r="F8" s="5" t="inlineStr">
        <is>
          <t>1. Login as Student
2. Open Department URL</t>
        </is>
      </c>
      <c r="G8" s="5" t="inlineStr">
        <is>
          <t>TD-SEC-002</t>
        </is>
      </c>
      <c r="H8" s="5" t="inlineStr">
        <is>
          <t>student1@fpt.edu.vn; /department/events</t>
        </is>
      </c>
      <c r="I8" s="5" t="inlineStr">
        <is>
          <t>Show 403/Access denied.</t>
        </is>
      </c>
      <c r="J8" s="5" t="inlineStr">
        <is>
          <t>High</t>
        </is>
      </c>
      <c r="K8" s="5" t="inlineStr">
        <is>
          <t>DatHVT</t>
        </is>
      </c>
      <c r="L8" s="5" t="inlineStr">
        <is>
          <t>Week 2</t>
        </is>
      </c>
      <c r="M8" s="5" t="inlineStr">
        <is>
          <t>Not Started</t>
        </is>
      </c>
      <c r="N8" s="5" t="inlineStr"/>
      <c r="O8" s="5" t="inlineStr"/>
    </row>
    <row r="9">
      <c r="A9" s="5" t="inlineStr">
        <is>
          <t>AUTH-008</t>
        </is>
      </c>
      <c r="B9" s="5" t="inlineStr">
        <is>
          <t>Authentication &amp; Role</t>
        </is>
      </c>
      <c r="C9" s="5" t="inlineStr">
        <is>
          <t>Department accesses Admin page</t>
        </is>
      </c>
      <c r="D9" s="5" t="inlineStr">
        <is>
          <t>Verify non-admin cannot access admin page.</t>
        </is>
      </c>
      <c r="E9" s="5" t="inlineStr">
        <is>
          <t>Department is logged in.</t>
        </is>
      </c>
      <c r="F9" s="5" t="inlineStr">
        <is>
          <t>1. Login as Department
2. Open Admin URL</t>
        </is>
      </c>
      <c r="G9" s="5" t="inlineStr">
        <is>
          <t>TD-SEC-003</t>
        </is>
      </c>
      <c r="H9" s="5" t="inlineStr">
        <is>
          <t>department@aems.com; /admin/users</t>
        </is>
      </c>
      <c r="I9" s="5" t="inlineStr">
        <is>
          <t>Show 403/Access denied.</t>
        </is>
      </c>
      <c r="J9" s="5" t="inlineStr">
        <is>
          <t>High</t>
        </is>
      </c>
      <c r="K9" s="5" t="inlineStr">
        <is>
          <t>DatHVT</t>
        </is>
      </c>
      <c r="L9" s="5" t="inlineStr">
        <is>
          <t>Week 2</t>
        </is>
      </c>
      <c r="M9" s="5" t="inlineStr">
        <is>
          <t>Not Started</t>
        </is>
      </c>
      <c r="N9" s="5" t="inlineStr"/>
      <c r="O9" s="5" t="inlineStr"/>
    </row>
    <row r="10">
      <c r="A10" s="5" t="inlineStr">
        <is>
          <t>USER-001</t>
        </is>
      </c>
      <c r="B10" s="5" t="inlineStr">
        <is>
          <t>User Management</t>
        </is>
      </c>
      <c r="C10" s="5" t="inlineStr">
        <is>
          <t>Admin views user list</t>
        </is>
      </c>
      <c r="D10" s="5" t="inlineStr">
        <is>
          <t>Verify admin can view users.</t>
        </is>
      </c>
      <c r="E10" s="5" t="inlineStr">
        <is>
          <t>Admin is logged in.</t>
        </is>
      </c>
      <c r="F10" s="5" t="inlineStr">
        <is>
          <t>1. Open User Management
2. Check user table</t>
        </is>
      </c>
      <c r="G10" s="5" t="inlineStr">
        <is>
          <t>TD-AUTH-001</t>
        </is>
      </c>
      <c r="H10" s="5" t="inlineStr">
        <is>
          <t>admin@aems.com / Admin123@</t>
        </is>
      </c>
      <c r="I10" s="5" t="inlineStr">
        <is>
          <t>All users are displayed with role/status.</t>
        </is>
      </c>
      <c r="J10" s="5" t="inlineStr">
        <is>
          <t>Medium</t>
        </is>
      </c>
      <c r="K10" s="5" t="inlineStr">
        <is>
          <t>DatHVT</t>
        </is>
      </c>
      <c r="L10" s="5" t="inlineStr">
        <is>
          <t>Week 2</t>
        </is>
      </c>
      <c r="M10" s="5" t="inlineStr">
        <is>
          <t>Not Started</t>
        </is>
      </c>
      <c r="N10" s="5" t="inlineStr"/>
      <c r="O10" s="5" t="inlineStr"/>
    </row>
    <row r="11">
      <c r="A11" s="5" t="inlineStr">
        <is>
          <t>USER-002</t>
        </is>
      </c>
      <c r="B11" s="5" t="inlineStr">
        <is>
          <t>User Management</t>
        </is>
      </c>
      <c r="C11" s="5" t="inlineStr">
        <is>
          <t>Admin creates new student user</t>
        </is>
      </c>
      <c r="D11" s="5" t="inlineStr">
        <is>
          <t>Verify admin can add a user.</t>
        </is>
      </c>
      <c r="E11" s="5" t="inlineStr">
        <is>
          <t>Admin is logged in.</t>
        </is>
      </c>
      <c r="F11" s="5" t="inlineStr">
        <is>
          <t>1. Click Add User
2. Fill information
3. Save</t>
        </is>
      </c>
      <c r="G11" s="5" t="inlineStr">
        <is>
          <t>TD-USER-001</t>
        </is>
      </c>
      <c r="H11" s="5" t="inlineStr">
        <is>
          <t>newstudent@fpt.edu.vn, role STUDENT</t>
        </is>
      </c>
      <c r="I11" s="5" t="inlineStr">
        <is>
          <t>New user is saved and visible.</t>
        </is>
      </c>
      <c r="J11" s="5" t="inlineStr">
        <is>
          <t>High</t>
        </is>
      </c>
      <c r="K11" s="5" t="inlineStr">
        <is>
          <t>DatHVT</t>
        </is>
      </c>
      <c r="L11" s="5" t="inlineStr">
        <is>
          <t>Week 3</t>
        </is>
      </c>
      <c r="M11" s="5" t="inlineStr">
        <is>
          <t>Not Started</t>
        </is>
      </c>
      <c r="N11" s="5" t="inlineStr"/>
      <c r="O11" s="5" t="inlineStr"/>
    </row>
    <row r="12">
      <c r="A12" s="5" t="inlineStr">
        <is>
          <t>USER-003</t>
        </is>
      </c>
      <c r="B12" s="5" t="inlineStr">
        <is>
          <t>User Management</t>
        </is>
      </c>
      <c r="C12" s="5" t="inlineStr">
        <is>
          <t>Create user with duplicate email</t>
        </is>
      </c>
      <c r="D12" s="5" t="inlineStr">
        <is>
          <t>Verify duplicate email validation.</t>
        </is>
      </c>
      <c r="E12" s="5" t="inlineStr">
        <is>
          <t>Email already exists.</t>
        </is>
      </c>
      <c r="F12" s="5" t="inlineStr">
        <is>
          <t>1. Add user
2. Enter existing email
3. Save</t>
        </is>
      </c>
      <c r="G12" s="5" t="inlineStr">
        <is>
          <t>TD-USER-002</t>
        </is>
      </c>
      <c r="H12" s="5" t="inlineStr">
        <is>
          <t>student1@fpt.edu.vn</t>
        </is>
      </c>
      <c r="I12" s="5" t="inlineStr">
        <is>
          <t>Show duplicate email error.</t>
        </is>
      </c>
      <c r="J12" s="5" t="inlineStr">
        <is>
          <t>High</t>
        </is>
      </c>
      <c r="K12" s="5" t="inlineStr">
        <is>
          <t>DatHVT</t>
        </is>
      </c>
      <c r="L12" s="5" t="inlineStr">
        <is>
          <t>Week 3</t>
        </is>
      </c>
      <c r="M12" s="5" t="inlineStr">
        <is>
          <t>Not Started</t>
        </is>
      </c>
      <c r="N12" s="5" t="inlineStr"/>
      <c r="O12" s="5" t="inlineStr"/>
    </row>
    <row r="13">
      <c r="A13" s="5" t="inlineStr">
        <is>
          <t>USER-004</t>
        </is>
      </c>
      <c r="B13" s="5" t="inlineStr">
        <is>
          <t>User Management</t>
        </is>
      </c>
      <c r="C13" s="5" t="inlineStr">
        <is>
          <t>Admin updates user role</t>
        </is>
      </c>
      <c r="D13" s="5" t="inlineStr">
        <is>
          <t>Verify admin can update user role.</t>
        </is>
      </c>
      <c r="E13" s="5" t="inlineStr">
        <is>
          <t>User exists.</t>
        </is>
      </c>
      <c r="F13" s="5" t="inlineStr">
        <is>
          <t>1. Open user detail
2. Change role
3. Save</t>
        </is>
      </c>
      <c r="G13" s="5" t="inlineStr">
        <is>
          <t>TD-USER-003</t>
        </is>
      </c>
      <c r="H13" s="5" t="inlineStr">
        <is>
          <t>Change STUDENT to COMMITTEE</t>
        </is>
      </c>
      <c r="I13" s="5" t="inlineStr">
        <is>
          <t>Role is updated successfully.</t>
        </is>
      </c>
      <c r="J13" s="5" t="inlineStr">
        <is>
          <t>High</t>
        </is>
      </c>
      <c r="K13" s="5" t="inlineStr">
        <is>
          <t>DatHVT</t>
        </is>
      </c>
      <c r="L13" s="5" t="inlineStr">
        <is>
          <t>Week 3</t>
        </is>
      </c>
      <c r="M13" s="5" t="inlineStr">
        <is>
          <t>Not Started</t>
        </is>
      </c>
      <c r="N13" s="5" t="inlineStr"/>
      <c r="O13" s="5" t="inlineStr"/>
    </row>
    <row r="14">
      <c r="A14" s="5" t="inlineStr">
        <is>
          <t>USER-005</t>
        </is>
      </c>
      <c r="B14" s="5" t="inlineStr">
        <is>
          <t>User Management</t>
        </is>
      </c>
      <c r="C14" s="5" t="inlineStr">
        <is>
          <t>Disable user account</t>
        </is>
      </c>
      <c r="D14" s="5" t="inlineStr">
        <is>
          <t>Verify disabled user cannot login.</t>
        </is>
      </c>
      <c r="E14" s="5" t="inlineStr">
        <is>
          <t>User exists and active.</t>
        </is>
      </c>
      <c r="F14" s="5" t="inlineStr">
        <is>
          <t>1. Disable user
2. Try login</t>
        </is>
      </c>
      <c r="G14" s="5" t="inlineStr">
        <is>
          <t>TD-USER-004</t>
        </is>
      </c>
      <c r="H14" s="5" t="inlineStr">
        <is>
          <t>student2@fpt.edu.vn disabled</t>
        </is>
      </c>
      <c r="I14" s="5" t="inlineStr">
        <is>
          <t>Login is blocked.</t>
        </is>
      </c>
      <c r="J14" s="5" t="inlineStr">
        <is>
          <t>High</t>
        </is>
      </c>
      <c r="K14" s="5" t="inlineStr">
        <is>
          <t>DatHVT</t>
        </is>
      </c>
      <c r="L14" s="5" t="inlineStr">
        <is>
          <t>Week 3</t>
        </is>
      </c>
      <c r="M14" s="5" t="inlineStr">
        <is>
          <t>Not Started</t>
        </is>
      </c>
      <c r="N14" s="5" t="inlineStr"/>
      <c r="O14" s="5" t="inlineStr"/>
    </row>
    <row r="15">
      <c r="A15" s="5" t="inlineStr">
        <is>
          <t>PROP-001</t>
        </is>
      </c>
      <c r="B15" s="5" t="inlineStr">
        <is>
          <t>Event Proposal</t>
        </is>
      </c>
      <c r="C15" s="5" t="inlineStr">
        <is>
          <t>Department creates valid proposal</t>
        </is>
      </c>
      <c r="D15" s="5" t="inlineStr">
        <is>
          <t>Verify Department can submit proposal.</t>
        </is>
      </c>
      <c r="E15" s="5" t="inlineStr">
        <is>
          <t>Department logged in.</t>
        </is>
      </c>
      <c r="F15" s="5" t="inlineStr">
        <is>
          <t>1. Open Create Proposal
2. Fill valid data
3. Submit</t>
        </is>
      </c>
      <c r="G15" s="5" t="inlineStr">
        <is>
          <t>TD-PROP-001</t>
        </is>
      </c>
      <c r="H15" s="5" t="inlineStr">
        <is>
          <t>AI Workshop proposal</t>
        </is>
      </c>
      <c r="I15" s="5" t="inlineStr">
        <is>
          <t>Proposal status = PENDING.</t>
        </is>
      </c>
      <c r="J15" s="5" t="inlineStr">
        <is>
          <t>High</t>
        </is>
      </c>
      <c r="K15" s="5" t="inlineStr">
        <is>
          <t>AnhNVT</t>
        </is>
      </c>
      <c r="L15" s="5" t="inlineStr">
        <is>
          <t>Week 1</t>
        </is>
      </c>
      <c r="M15" s="5" t="inlineStr">
        <is>
          <t>Not Started</t>
        </is>
      </c>
      <c r="N15" s="5" t="inlineStr"/>
      <c r="O15" s="5" t="inlineStr"/>
    </row>
    <row r="16">
      <c r="A16" s="5" t="inlineStr">
        <is>
          <t>PROP-002</t>
        </is>
      </c>
      <c r="B16" s="5" t="inlineStr">
        <is>
          <t>Event Proposal</t>
        </is>
      </c>
      <c r="C16" s="5" t="inlineStr">
        <is>
          <t>Create proposal with empty title</t>
        </is>
      </c>
      <c r="D16" s="5" t="inlineStr">
        <is>
          <t>Verify title is required.</t>
        </is>
      </c>
      <c r="E16" s="5" t="inlineStr">
        <is>
          <t>Department logged in.</t>
        </is>
      </c>
      <c r="F16" s="5" t="inlineStr">
        <is>
          <t>1. Leave title empty
2. Fill other fields
3. Submit</t>
        </is>
      </c>
      <c r="G16" s="5" t="inlineStr">
        <is>
          <t>TD-PROP-002</t>
        </is>
      </c>
      <c r="H16" s="5" t="inlineStr">
        <is>
          <t>Empty title</t>
        </is>
      </c>
      <c r="I16" s="5" t="inlineStr">
        <is>
          <t>Show title required error.</t>
        </is>
      </c>
      <c r="J16" s="5" t="inlineStr">
        <is>
          <t>High</t>
        </is>
      </c>
      <c r="K16" s="5" t="inlineStr">
        <is>
          <t>AnhNVT</t>
        </is>
      </c>
      <c r="L16" s="5" t="inlineStr">
        <is>
          <t>Week 1</t>
        </is>
      </c>
      <c r="M16" s="5" t="inlineStr">
        <is>
          <t>Not Started</t>
        </is>
      </c>
      <c r="N16" s="5" t="inlineStr"/>
      <c r="O16" s="5" t="inlineStr"/>
    </row>
    <row r="17">
      <c r="A17" s="5" t="inlineStr">
        <is>
          <t>PROP-003</t>
        </is>
      </c>
      <c r="B17" s="5" t="inlineStr">
        <is>
          <t>Event Proposal</t>
        </is>
      </c>
      <c r="C17" s="5" t="inlineStr">
        <is>
          <t>Create proposal with past date</t>
        </is>
      </c>
      <c r="D17" s="5" t="inlineStr">
        <is>
          <t>Verify past date is rejected.</t>
        </is>
      </c>
      <c r="E17" s="5" t="inlineStr">
        <is>
          <t>Department logged in.</t>
        </is>
      </c>
      <c r="F17" s="5" t="inlineStr">
        <is>
          <t>1. Select date in past
2. Submit</t>
        </is>
      </c>
      <c r="G17" s="5" t="inlineStr">
        <is>
          <t>TD-PROP-003</t>
        </is>
      </c>
      <c r="H17" s="5" t="inlineStr">
        <is>
          <t>Event date = yesterday</t>
        </is>
      </c>
      <c r="I17" s="5" t="inlineStr">
        <is>
          <t>Show invalid date error.</t>
        </is>
      </c>
      <c r="J17" s="5" t="inlineStr">
        <is>
          <t>High</t>
        </is>
      </c>
      <c r="K17" s="5" t="inlineStr">
        <is>
          <t>AnhNVT</t>
        </is>
      </c>
      <c r="L17" s="5" t="inlineStr">
        <is>
          <t>Week 1</t>
        </is>
      </c>
      <c r="M17" s="5" t="inlineStr">
        <is>
          <t>Not Started</t>
        </is>
      </c>
      <c r="N17" s="5" t="inlineStr"/>
      <c r="O17" s="5" t="inlineStr"/>
    </row>
    <row r="18">
      <c r="A18" s="5" t="inlineStr">
        <is>
          <t>PROP-004</t>
        </is>
      </c>
      <c r="B18" s="5" t="inlineStr">
        <is>
          <t>Event Proposal</t>
        </is>
      </c>
      <c r="C18" s="5" t="inlineStr">
        <is>
          <t>Create proposal with invalid capacity</t>
        </is>
      </c>
      <c r="D18" s="5" t="inlineStr">
        <is>
          <t>Verify capacity must be positive.</t>
        </is>
      </c>
      <c r="E18" s="5" t="inlineStr">
        <is>
          <t>Department logged in.</t>
        </is>
      </c>
      <c r="F18" s="5" t="inlineStr">
        <is>
          <t>1. Enter capacity 0/-1
2. Submit</t>
        </is>
      </c>
      <c r="G18" s="5" t="inlineStr">
        <is>
          <t>TD-PROP-004</t>
        </is>
      </c>
      <c r="H18" s="5" t="inlineStr">
        <is>
          <t>Capacity = -10</t>
        </is>
      </c>
      <c r="I18" s="5" t="inlineStr">
        <is>
          <t>Show capacity validation error.</t>
        </is>
      </c>
      <c r="J18" s="5" t="inlineStr">
        <is>
          <t>High</t>
        </is>
      </c>
      <c r="K18" s="5" t="inlineStr">
        <is>
          <t>AnhNVT</t>
        </is>
      </c>
      <c r="L18" s="5" t="inlineStr">
        <is>
          <t>Week 2</t>
        </is>
      </c>
      <c r="M18" s="5" t="inlineStr">
        <is>
          <t>Not Started</t>
        </is>
      </c>
      <c r="N18" s="5" t="inlineStr"/>
      <c r="O18" s="5" t="inlineStr"/>
    </row>
    <row r="19">
      <c r="A19" s="5" t="inlineStr">
        <is>
          <t>PROP-005</t>
        </is>
      </c>
      <c r="B19" s="5" t="inlineStr">
        <is>
          <t>Event Proposal</t>
        </is>
      </c>
      <c r="C19" s="5" t="inlineStr">
        <is>
          <t>Department views own proposals</t>
        </is>
      </c>
      <c r="D19" s="5" t="inlineStr">
        <is>
          <t>Verify Department can view its proposals.</t>
        </is>
      </c>
      <c r="E19" s="5" t="inlineStr">
        <is>
          <t>Department has proposals.</t>
        </is>
      </c>
      <c r="F19" s="5" t="inlineStr">
        <is>
          <t>1. Open My Proposals
2. Check list</t>
        </is>
      </c>
      <c r="G19" s="5" t="inlineStr">
        <is>
          <t>TD-PROP-005</t>
        </is>
      </c>
      <c r="H19" s="5" t="inlineStr">
        <is>
          <t>PENDING, APPROVED, REJECTED proposals</t>
        </is>
      </c>
      <c r="I19" s="5" t="inlineStr">
        <is>
          <t>Show only department's proposals.</t>
        </is>
      </c>
      <c r="J19" s="5" t="inlineStr">
        <is>
          <t>Medium</t>
        </is>
      </c>
      <c r="K19" s="5" t="inlineStr">
        <is>
          <t>AnhNVT</t>
        </is>
      </c>
      <c r="L19" s="5" t="inlineStr">
        <is>
          <t>Week 2</t>
        </is>
      </c>
      <c r="M19" s="5" t="inlineStr">
        <is>
          <t>Not Started</t>
        </is>
      </c>
      <c r="N19" s="5" t="inlineStr"/>
      <c r="O19" s="5" t="inlineStr"/>
    </row>
    <row r="20">
      <c r="A20" s="5" t="inlineStr">
        <is>
          <t>PROP-006</t>
        </is>
      </c>
      <c r="B20" s="5" t="inlineStr">
        <is>
          <t>Event Proposal</t>
        </is>
      </c>
      <c r="C20" s="5" t="inlineStr">
        <is>
          <t>Edit pending proposal</t>
        </is>
      </c>
      <c r="D20" s="5" t="inlineStr">
        <is>
          <t>Verify pending proposal can be edited.</t>
        </is>
      </c>
      <c r="E20" s="5" t="inlineStr">
        <is>
          <t>Proposal status = PENDING.</t>
        </is>
      </c>
      <c r="F20" s="5" t="inlineStr">
        <is>
          <t>1. Open proposal
2. Edit title/date/capacity
3. Save</t>
        </is>
      </c>
      <c r="G20" s="5" t="inlineStr">
        <is>
          <t>TD-PROP-006</t>
        </is>
      </c>
      <c r="H20" s="5" t="inlineStr">
        <is>
          <t>Proposal P001</t>
        </is>
      </c>
      <c r="I20" s="5" t="inlineStr">
        <is>
          <t>Updated successfully.</t>
        </is>
      </c>
      <c r="J20" s="5" t="inlineStr">
        <is>
          <t>Medium</t>
        </is>
      </c>
      <c r="K20" s="5" t="inlineStr">
        <is>
          <t>AnhNVT</t>
        </is>
      </c>
      <c r="L20" s="5" t="inlineStr">
        <is>
          <t>Week 2</t>
        </is>
      </c>
      <c r="M20" s="5" t="inlineStr">
        <is>
          <t>Not Started</t>
        </is>
      </c>
      <c r="N20" s="5" t="inlineStr"/>
      <c r="O20" s="5" t="inlineStr"/>
    </row>
    <row r="21">
      <c r="A21" s="5" t="inlineStr">
        <is>
          <t>PROP-007</t>
        </is>
      </c>
      <c r="B21" s="5" t="inlineStr">
        <is>
          <t>Event Proposal</t>
        </is>
      </c>
      <c r="C21" s="5" t="inlineStr">
        <is>
          <t>Cannot edit approved proposal</t>
        </is>
      </c>
      <c r="D21" s="5" t="inlineStr">
        <is>
          <t>Verify approved proposal is locked.</t>
        </is>
      </c>
      <c r="E21" s="5" t="inlineStr">
        <is>
          <t>Proposal status = APPROVED.</t>
        </is>
      </c>
      <c r="F21" s="5" t="inlineStr">
        <is>
          <t>1. Open approved proposal
2. Try to edit</t>
        </is>
      </c>
      <c r="G21" s="5" t="inlineStr">
        <is>
          <t>TD-PROP-007</t>
        </is>
      </c>
      <c r="H21" s="5" t="inlineStr">
        <is>
          <t>Proposal P002 APPROVED</t>
        </is>
      </c>
      <c r="I21" s="5" t="inlineStr">
        <is>
          <t>Editing is blocked/read-only.</t>
        </is>
      </c>
      <c r="J21" s="5" t="inlineStr">
        <is>
          <t>Medium</t>
        </is>
      </c>
      <c r="K21" s="5" t="inlineStr">
        <is>
          <t>AnhNVT</t>
        </is>
      </c>
      <c r="L21" s="5" t="inlineStr">
        <is>
          <t>Week 3</t>
        </is>
      </c>
      <c r="M21" s="5" t="inlineStr">
        <is>
          <t>Not Started</t>
        </is>
      </c>
      <c r="N21" s="5" t="inlineStr"/>
      <c r="O21" s="5" t="inlineStr"/>
    </row>
    <row r="22">
      <c r="A22" s="5" t="inlineStr">
        <is>
          <t>PROP-008</t>
        </is>
      </c>
      <c r="B22" s="5" t="inlineStr">
        <is>
          <t>Event Proposal</t>
        </is>
      </c>
      <c r="C22" s="5" t="inlineStr">
        <is>
          <t>Delete draft proposal</t>
        </is>
      </c>
      <c r="D22" s="5" t="inlineStr">
        <is>
          <t>Verify draft/pending proposal can be deleted.</t>
        </is>
      </c>
      <c r="E22" s="5" t="inlineStr">
        <is>
          <t>Proposal not approved.</t>
        </is>
      </c>
      <c r="F22" s="5" t="inlineStr">
        <is>
          <t>1. Select proposal
2. Delete
3. Confirm</t>
        </is>
      </c>
      <c r="G22" s="5" t="inlineStr">
        <is>
          <t>TD-PROP-008</t>
        </is>
      </c>
      <c r="H22" s="5" t="inlineStr">
        <is>
          <t>Proposal P004 DRAFT</t>
        </is>
      </c>
      <c r="I22" s="5" t="inlineStr">
        <is>
          <t>Proposal deleted/marked deleted.</t>
        </is>
      </c>
      <c r="J22" s="5" t="inlineStr">
        <is>
          <t>Low</t>
        </is>
      </c>
      <c r="K22" s="5" t="inlineStr">
        <is>
          <t>AnhNVT</t>
        </is>
      </c>
      <c r="L22" s="5" t="inlineStr">
        <is>
          <t>Week 3</t>
        </is>
      </c>
      <c r="M22" s="5" t="inlineStr">
        <is>
          <t>Not Started</t>
        </is>
      </c>
      <c r="N22" s="5" t="inlineStr"/>
      <c r="O22" s="5" t="inlineStr"/>
    </row>
    <row r="23">
      <c r="A23" s="5" t="inlineStr">
        <is>
          <t>APP-001</t>
        </is>
      </c>
      <c r="B23" s="5" t="inlineStr">
        <is>
          <t>Approval Workflow</t>
        </is>
      </c>
      <c r="C23" s="5" t="inlineStr">
        <is>
          <t>Committee approves proposal</t>
        </is>
      </c>
      <c r="D23" s="5" t="inlineStr">
        <is>
          <t>Verify proposal approval workflow.</t>
        </is>
      </c>
      <c r="E23" s="5" t="inlineStr">
        <is>
          <t>Committee logged in; proposal PENDING.</t>
        </is>
      </c>
      <c r="F23" s="5" t="inlineStr">
        <is>
          <t>1. Open proposal detail
2. Click Approve
3. Confirm</t>
        </is>
      </c>
      <c r="G23" s="5" t="inlineStr">
        <is>
          <t>TD-APP-001</t>
        </is>
      </c>
      <c r="H23" s="5" t="inlineStr">
        <is>
          <t>P001 PENDING</t>
        </is>
      </c>
      <c r="I23" s="5" t="inlineStr">
        <is>
          <t>Status becomes APPROVED.</t>
        </is>
      </c>
      <c r="J23" s="5" t="inlineStr">
        <is>
          <t>High</t>
        </is>
      </c>
      <c r="K23" s="5" t="inlineStr">
        <is>
          <t>AnhNVT</t>
        </is>
      </c>
      <c r="L23" s="5" t="inlineStr">
        <is>
          <t>Week 3</t>
        </is>
      </c>
      <c r="M23" s="5" t="inlineStr">
        <is>
          <t>Not Started</t>
        </is>
      </c>
      <c r="N23" s="5" t="inlineStr"/>
      <c r="O23" s="5" t="inlineStr"/>
    </row>
    <row r="24">
      <c r="A24" s="5" t="inlineStr">
        <is>
          <t>APP-002</t>
        </is>
      </c>
      <c r="B24" s="5" t="inlineStr">
        <is>
          <t>Approval Workflow</t>
        </is>
      </c>
      <c r="C24" s="5" t="inlineStr">
        <is>
          <t>Committee rejects proposal</t>
        </is>
      </c>
      <c r="D24" s="5" t="inlineStr">
        <is>
          <t>Verify proposal rejection.</t>
        </is>
      </c>
      <c r="E24" s="5" t="inlineStr">
        <is>
          <t>Committee logged in; proposal PENDING.</t>
        </is>
      </c>
      <c r="F24" s="5" t="inlineStr">
        <is>
          <t>1. Open proposal
2. Click Reject
3. Enter reason</t>
        </is>
      </c>
      <c r="G24" s="5" t="inlineStr">
        <is>
          <t>TD-APP-002</t>
        </is>
      </c>
      <c r="H24" s="5" t="inlineStr">
        <is>
          <t>Reason: Invalid content</t>
        </is>
      </c>
      <c r="I24" s="5" t="inlineStr">
        <is>
          <t>Status becomes REJECTED with reason.</t>
        </is>
      </c>
      <c r="J24" s="5" t="inlineStr">
        <is>
          <t>High</t>
        </is>
      </c>
      <c r="K24" s="5" t="inlineStr">
        <is>
          <t>AnhNVT</t>
        </is>
      </c>
      <c r="L24" s="5" t="inlineStr">
        <is>
          <t>Week 4</t>
        </is>
      </c>
      <c r="M24" s="5" t="inlineStr">
        <is>
          <t>Not Started</t>
        </is>
      </c>
      <c r="N24" s="5" t="inlineStr"/>
      <c r="O24" s="5" t="inlineStr"/>
    </row>
    <row r="25">
      <c r="A25" s="5" t="inlineStr">
        <is>
          <t>APP-003</t>
        </is>
      </c>
      <c r="B25" s="5" t="inlineStr">
        <is>
          <t>Approval Workflow</t>
        </is>
      </c>
      <c r="C25" s="5" t="inlineStr">
        <is>
          <t>Committee requests revision</t>
        </is>
      </c>
      <c r="D25" s="5" t="inlineStr">
        <is>
          <t>Verify revision request.</t>
        </is>
      </c>
      <c r="E25" s="5" t="inlineStr">
        <is>
          <t>Committee logged in.</t>
        </is>
      </c>
      <c r="F25" s="5" t="inlineStr">
        <is>
          <t>1. Open proposal
2. Click Request Revision
3. Add note</t>
        </is>
      </c>
      <c r="G25" s="5" t="inlineStr">
        <is>
          <t>TD-APP-003</t>
        </is>
      </c>
      <c r="H25" s="5" t="inlineStr">
        <is>
          <t>Note: Update schedule</t>
        </is>
      </c>
      <c r="I25" s="5" t="inlineStr">
        <is>
          <t>Status becomes REVISION_REQUIRED.</t>
        </is>
      </c>
      <c r="J25" s="5" t="inlineStr">
        <is>
          <t>High</t>
        </is>
      </c>
      <c r="K25" s="5" t="inlineStr">
        <is>
          <t>AnhNVT</t>
        </is>
      </c>
      <c r="L25" s="5" t="inlineStr">
        <is>
          <t>Week 4</t>
        </is>
      </c>
      <c r="M25" s="5" t="inlineStr">
        <is>
          <t>Not Started</t>
        </is>
      </c>
      <c r="N25" s="5" t="inlineStr"/>
      <c r="O25" s="5" t="inlineStr"/>
    </row>
    <row r="26">
      <c r="A26" s="5" t="inlineStr">
        <is>
          <t>APP-004</t>
        </is>
      </c>
      <c r="B26" s="5" t="inlineStr">
        <is>
          <t>Approval Workflow</t>
        </is>
      </c>
      <c r="C26" s="5" t="inlineStr">
        <is>
          <t>Department resubmits revised proposal</t>
        </is>
      </c>
      <c r="D26" s="5" t="inlineStr">
        <is>
          <t>Verify revised proposal can be resubmitted.</t>
        </is>
      </c>
      <c r="E26" s="5" t="inlineStr">
        <is>
          <t>Proposal status REVISION_REQUIRED.</t>
        </is>
      </c>
      <c r="F26" s="5" t="inlineStr">
        <is>
          <t>1. Department edits proposal
2. Submit again</t>
        </is>
      </c>
      <c r="G26" s="5" t="inlineStr">
        <is>
          <t>TD-APP-004</t>
        </is>
      </c>
      <c r="H26" s="5" t="inlineStr">
        <is>
          <t>P005 revised</t>
        </is>
      </c>
      <c r="I26" s="5" t="inlineStr">
        <is>
          <t>Status becomes PENDING.</t>
        </is>
      </c>
      <c r="J26" s="5" t="inlineStr">
        <is>
          <t>Medium</t>
        </is>
      </c>
      <c r="K26" s="5" t="inlineStr">
        <is>
          <t>AnhNVT</t>
        </is>
      </c>
      <c r="L26" s="5" t="inlineStr">
        <is>
          <t>Week 4</t>
        </is>
      </c>
      <c r="M26" s="5" t="inlineStr">
        <is>
          <t>Not Started</t>
        </is>
      </c>
      <c r="N26" s="5" t="inlineStr"/>
      <c r="O26" s="5" t="inlineStr"/>
    </row>
    <row r="27">
      <c r="A27" s="5" t="inlineStr">
        <is>
          <t>APP-005</t>
        </is>
      </c>
      <c r="B27" s="5" t="inlineStr">
        <is>
          <t>Approval Workflow</t>
        </is>
      </c>
      <c r="C27" s="5" t="inlineStr">
        <is>
          <t>Prevent duplicate approval</t>
        </is>
      </c>
      <c r="D27" s="5" t="inlineStr">
        <is>
          <t>Verify approved proposal cannot be approved again.</t>
        </is>
      </c>
      <c r="E27" s="5" t="inlineStr">
        <is>
          <t>Proposal already approved.</t>
        </is>
      </c>
      <c r="F27" s="5" t="inlineStr">
        <is>
          <t>1. Open approved proposal
2. Try approve again</t>
        </is>
      </c>
      <c r="G27" s="5" t="inlineStr">
        <is>
          <t>TD-APP-005</t>
        </is>
      </c>
      <c r="H27" s="5" t="inlineStr">
        <is>
          <t>P002 APPROVED</t>
        </is>
      </c>
      <c r="I27" s="5" t="inlineStr">
        <is>
          <t>System blocks duplicate approval.</t>
        </is>
      </c>
      <c r="J27" s="5" t="inlineStr">
        <is>
          <t>Medium</t>
        </is>
      </c>
      <c r="K27" s="5" t="inlineStr">
        <is>
          <t>AnhNVT</t>
        </is>
      </c>
      <c r="L27" s="5" t="inlineStr">
        <is>
          <t>Week 4</t>
        </is>
      </c>
      <c r="M27" s="5" t="inlineStr">
        <is>
          <t>Not Started</t>
        </is>
      </c>
      <c r="N27" s="5" t="inlineStr"/>
      <c r="O27" s="5" t="inlineStr"/>
    </row>
    <row r="28">
      <c r="A28" s="5" t="inlineStr">
        <is>
          <t>APP-006</t>
        </is>
      </c>
      <c r="B28" s="5" t="inlineStr">
        <is>
          <t>Approval Workflow</t>
        </is>
      </c>
      <c r="C28" s="5" t="inlineStr">
        <is>
          <t>Only Committee can approve proposal</t>
        </is>
      </c>
      <c r="D28" s="5" t="inlineStr">
        <is>
          <t>Verify authorization for approval.</t>
        </is>
      </c>
      <c r="E28" s="5" t="inlineStr">
        <is>
          <t>Student/Department logged in.</t>
        </is>
      </c>
      <c r="F28" s="5" t="inlineStr">
        <is>
          <t>1. Open approve URL directly</t>
        </is>
      </c>
      <c r="G28" s="5" t="inlineStr">
        <is>
          <t>TD-APP-006</t>
        </is>
      </c>
      <c r="H28" s="5" t="inlineStr">
        <is>
          <t>/committee/proposals/{id}/approve</t>
        </is>
      </c>
      <c r="I28" s="5" t="inlineStr">
        <is>
          <t>Show 403/Access denied.</t>
        </is>
      </c>
      <c r="J28" s="5" t="inlineStr">
        <is>
          <t>High</t>
        </is>
      </c>
      <c r="K28" s="5" t="inlineStr">
        <is>
          <t>AnhNVT</t>
        </is>
      </c>
      <c r="L28" s="5" t="inlineStr">
        <is>
          <t>Week 5</t>
        </is>
      </c>
      <c r="M28" s="5" t="inlineStr">
        <is>
          <t>Not Started</t>
        </is>
      </c>
      <c r="N28" s="5" t="inlineStr"/>
      <c r="O28" s="5" t="inlineStr"/>
    </row>
    <row r="29">
      <c r="A29" s="5" t="inlineStr">
        <is>
          <t>EVT-001</t>
        </is>
      </c>
      <c r="B29" s="5" t="inlineStr">
        <is>
          <t>Event Management</t>
        </is>
      </c>
      <c r="C29" s="5" t="inlineStr">
        <is>
          <t>Create event from approved proposal</t>
        </is>
      </c>
      <c r="D29" s="5" t="inlineStr">
        <is>
          <t>Verify approved proposal can become event.</t>
        </is>
      </c>
      <c r="E29" s="5" t="inlineStr">
        <is>
          <t>Proposal APPROVED.</t>
        </is>
      </c>
      <c r="F29" s="5" t="inlineStr">
        <is>
          <t>1. Open approved proposal
2. Publish/Create Event</t>
        </is>
      </c>
      <c r="G29" s="5" t="inlineStr">
        <is>
          <t>TD-EVT-001</t>
        </is>
      </c>
      <c r="H29" s="5" t="inlineStr">
        <is>
          <t>P002 APPROVED</t>
        </is>
      </c>
      <c r="I29" s="5" t="inlineStr">
        <is>
          <t>Event is created with correct data.</t>
        </is>
      </c>
      <c r="J29" s="5" t="inlineStr">
        <is>
          <t>High</t>
        </is>
      </c>
      <c r="K29" s="5" t="inlineStr">
        <is>
          <t>AnhNVT</t>
        </is>
      </c>
      <c r="L29" s="5" t="inlineStr">
        <is>
          <t>Week 5</t>
        </is>
      </c>
      <c r="M29" s="5" t="inlineStr">
        <is>
          <t>Not Started</t>
        </is>
      </c>
      <c r="N29" s="5" t="inlineStr"/>
      <c r="O29" s="5" t="inlineStr"/>
    </row>
    <row r="30">
      <c r="A30" s="5" t="inlineStr">
        <is>
          <t>EVT-002</t>
        </is>
      </c>
      <c r="B30" s="5" t="inlineStr">
        <is>
          <t>Event Management</t>
        </is>
      </c>
      <c r="C30" s="5" t="inlineStr">
        <is>
          <t>View event list</t>
        </is>
      </c>
      <c r="D30" s="5" t="inlineStr">
        <is>
          <t>Verify student can view published events.</t>
        </is>
      </c>
      <c r="E30" s="5" t="inlineStr">
        <is>
          <t>Published events exist.</t>
        </is>
      </c>
      <c r="F30" s="5" t="inlineStr">
        <is>
          <t>1. Login as Student
2. Open event list</t>
        </is>
      </c>
      <c r="G30" s="5" t="inlineStr">
        <is>
          <t>TD-EVT-002</t>
        </is>
      </c>
      <c r="H30" s="5" t="inlineStr">
        <is>
          <t>EV001, EV002</t>
        </is>
      </c>
      <c r="I30" s="5" t="inlineStr">
        <is>
          <t>Published active events are shown.</t>
        </is>
      </c>
      <c r="J30" s="5" t="inlineStr">
        <is>
          <t>High</t>
        </is>
      </c>
      <c r="K30" s="5" t="inlineStr">
        <is>
          <t>AnhNVT</t>
        </is>
      </c>
      <c r="L30" s="5" t="inlineStr">
        <is>
          <t>Week 5</t>
        </is>
      </c>
      <c r="M30" s="5" t="inlineStr">
        <is>
          <t>Not Started</t>
        </is>
      </c>
      <c r="N30" s="5" t="inlineStr"/>
      <c r="O30" s="5" t="inlineStr"/>
    </row>
    <row r="31">
      <c r="A31" s="5" t="inlineStr">
        <is>
          <t>EVT-003</t>
        </is>
      </c>
      <c r="B31" s="5" t="inlineStr">
        <is>
          <t>Event Management</t>
        </is>
      </c>
      <c r="C31" s="5" t="inlineStr">
        <is>
          <t>View event detail</t>
        </is>
      </c>
      <c r="D31" s="5" t="inlineStr">
        <is>
          <t>Verify detail page shows full event information.</t>
        </is>
      </c>
      <c r="E31" s="5" t="inlineStr">
        <is>
          <t>Event active.</t>
        </is>
      </c>
      <c r="F31" s="5" t="inlineStr">
        <is>
          <t>1. Click View Detail
2. Check event information</t>
        </is>
      </c>
      <c r="G31" s="5" t="inlineStr">
        <is>
          <t>TD-EVT-003</t>
        </is>
      </c>
      <c r="H31" s="5" t="inlineStr">
        <is>
          <t>EV001 AI Workshop</t>
        </is>
      </c>
      <c r="I31" s="5" t="inlineStr">
        <is>
          <t>Detail shows title, speaker, time, location, capacity, department.</t>
        </is>
      </c>
      <c r="J31" s="5" t="inlineStr">
        <is>
          <t>High</t>
        </is>
      </c>
      <c r="K31" s="5" t="inlineStr">
        <is>
          <t>AnhNVT</t>
        </is>
      </c>
      <c r="L31" s="5" t="inlineStr">
        <is>
          <t>Week 5</t>
        </is>
      </c>
      <c r="M31" s="5" t="inlineStr">
        <is>
          <t>Not Started</t>
        </is>
      </c>
      <c r="N31" s="5" t="inlineStr"/>
      <c r="O31" s="5" t="inlineStr"/>
    </row>
    <row r="32">
      <c r="A32" s="5" t="inlineStr">
        <is>
          <t>EVT-004</t>
        </is>
      </c>
      <c r="B32" s="5" t="inlineStr">
        <is>
          <t>Event Management</t>
        </is>
      </c>
      <c r="C32" s="5" t="inlineStr">
        <is>
          <t>Search events by keyword</t>
        </is>
      </c>
      <c r="D32" s="5" t="inlineStr">
        <is>
          <t>Verify search function.</t>
        </is>
      </c>
      <c r="E32" s="5" t="inlineStr">
        <is>
          <t>Events exist.</t>
        </is>
      </c>
      <c r="F32" s="5" t="inlineStr">
        <is>
          <t>1. Enter keyword
2. Search</t>
        </is>
      </c>
      <c r="G32" s="5" t="inlineStr">
        <is>
          <t>TD-EVT-004</t>
        </is>
      </c>
      <c r="H32" s="5" t="inlineStr">
        <is>
          <t>Keyword: AI</t>
        </is>
      </c>
      <c r="I32" s="5" t="inlineStr">
        <is>
          <t>Only matching events are shown.</t>
        </is>
      </c>
      <c r="J32" s="5" t="inlineStr">
        <is>
          <t>Medium</t>
        </is>
      </c>
      <c r="K32" s="5" t="inlineStr">
        <is>
          <t>AnhNVT</t>
        </is>
      </c>
      <c r="L32" s="5" t="inlineStr">
        <is>
          <t>Week 6</t>
        </is>
      </c>
      <c r="M32" s="5" t="inlineStr">
        <is>
          <t>Not Started</t>
        </is>
      </c>
      <c r="N32" s="5" t="inlineStr"/>
      <c r="O32" s="5" t="inlineStr"/>
    </row>
    <row r="33">
      <c r="A33" s="5" t="inlineStr">
        <is>
          <t>EVT-005</t>
        </is>
      </c>
      <c r="B33" s="5" t="inlineStr">
        <is>
          <t>Event Management</t>
        </is>
      </c>
      <c r="C33" s="5" t="inlineStr">
        <is>
          <t>Filter events by department</t>
        </is>
      </c>
      <c r="D33" s="5" t="inlineStr">
        <is>
          <t>Verify filter function.</t>
        </is>
      </c>
      <c r="E33" s="5" t="inlineStr">
        <is>
          <t>Multiple departments have events.</t>
        </is>
      </c>
      <c r="F33" s="5" t="inlineStr">
        <is>
          <t>1. Select department
2. Apply filter</t>
        </is>
      </c>
      <c r="G33" s="5" t="inlineStr">
        <is>
          <t>TD-EVT-005</t>
        </is>
      </c>
      <c r="H33" s="5" t="inlineStr">
        <is>
          <t>Department: IT</t>
        </is>
      </c>
      <c r="I33" s="5" t="inlineStr">
        <is>
          <t>Only IT events are shown.</t>
        </is>
      </c>
      <c r="J33" s="5" t="inlineStr">
        <is>
          <t>Medium</t>
        </is>
      </c>
      <c r="K33" s="5" t="inlineStr">
        <is>
          <t>AnhNVT</t>
        </is>
      </c>
      <c r="L33" s="5" t="inlineStr">
        <is>
          <t>Week 6</t>
        </is>
      </c>
      <c r="M33" s="5" t="inlineStr">
        <is>
          <t>Not Started</t>
        </is>
      </c>
      <c r="N33" s="5" t="inlineStr"/>
      <c r="O33" s="5" t="inlineStr"/>
    </row>
    <row r="34">
      <c r="A34" s="5" t="inlineStr">
        <is>
          <t>EVT-006</t>
        </is>
      </c>
      <c r="B34" s="5" t="inlineStr">
        <is>
          <t>Event Management</t>
        </is>
      </c>
      <c r="C34" s="5" t="inlineStr">
        <is>
          <t>Update event information</t>
        </is>
      </c>
      <c r="D34" s="5" t="inlineStr">
        <is>
          <t>Verify event can be updated by authorized user.</t>
        </is>
      </c>
      <c r="E34" s="5" t="inlineStr">
        <is>
          <t>Event exists; user has permission.</t>
        </is>
      </c>
      <c r="F34" s="5" t="inlineStr">
        <is>
          <t>1. Open Edit Event
2. Update location/time
3. Save</t>
        </is>
      </c>
      <c r="G34" s="5" t="inlineStr">
        <is>
          <t>TD-EVT-006</t>
        </is>
      </c>
      <c r="H34" s="5" t="inlineStr">
        <is>
          <t>Location Room 301</t>
        </is>
      </c>
      <c r="I34" s="5" t="inlineStr">
        <is>
          <t>Event info updated successfully.</t>
        </is>
      </c>
      <c r="J34" s="5" t="inlineStr">
        <is>
          <t>Medium</t>
        </is>
      </c>
      <c r="K34" s="5" t="inlineStr">
        <is>
          <t>AnhNVT</t>
        </is>
      </c>
      <c r="L34" s="5" t="inlineStr">
        <is>
          <t>Week 6</t>
        </is>
      </c>
      <c r="M34" s="5" t="inlineStr">
        <is>
          <t>Not Started</t>
        </is>
      </c>
      <c r="N34" s="5" t="inlineStr"/>
      <c r="O34" s="5" t="inlineStr"/>
    </row>
    <row r="35">
      <c r="A35" s="5" t="inlineStr">
        <is>
          <t>EVT-007</t>
        </is>
      </c>
      <c r="B35" s="5" t="inlineStr">
        <is>
          <t>Event Management</t>
        </is>
      </c>
      <c r="C35" s="5" t="inlineStr">
        <is>
          <t>Cancel event</t>
        </is>
      </c>
      <c r="D35" s="5" t="inlineStr">
        <is>
          <t>Verify canceled event cannot be registered.</t>
        </is>
      </c>
      <c r="E35" s="5" t="inlineStr">
        <is>
          <t>Event exists.</t>
        </is>
      </c>
      <c r="F35" s="5" t="inlineStr">
        <is>
          <t>1. Cancel event
2. Student views list/detail</t>
        </is>
      </c>
      <c r="G35" s="5" t="inlineStr">
        <is>
          <t>TD-EVT-007</t>
        </is>
      </c>
      <c r="H35" s="5" t="inlineStr">
        <is>
          <t>EV003 canceled</t>
        </is>
      </c>
      <c r="I35" s="5" t="inlineStr">
        <is>
          <t>Event hidden/marked canceled; registration disabled.</t>
        </is>
      </c>
      <c r="J35" s="5" t="inlineStr">
        <is>
          <t>High</t>
        </is>
      </c>
      <c r="K35" s="5" t="inlineStr">
        <is>
          <t>AnhNVT</t>
        </is>
      </c>
      <c r="L35" s="5" t="inlineStr">
        <is>
          <t>Week 6</t>
        </is>
      </c>
      <c r="M35" s="5" t="inlineStr">
        <is>
          <t>Not Started</t>
        </is>
      </c>
      <c r="N35" s="5" t="inlineStr"/>
      <c r="O35" s="5" t="inlineStr"/>
    </row>
    <row r="36">
      <c r="A36" s="5" t="inlineStr">
        <is>
          <t>REG-001</t>
        </is>
      </c>
      <c r="B36" s="5" t="inlineStr">
        <is>
          <t>Registration &amp; Waitlist</t>
        </is>
      </c>
      <c r="C36" s="5" t="inlineStr">
        <is>
          <t>Student registers available event</t>
        </is>
      </c>
      <c r="D36" s="5" t="inlineStr">
        <is>
          <t>Verify normal registration.</t>
        </is>
      </c>
      <c r="E36" s="5" t="inlineStr">
        <is>
          <t>Student logged in; event active and has slots.</t>
        </is>
      </c>
      <c r="F36" s="5" t="inlineStr">
        <is>
          <t>1. Open event detail
2. Click Register</t>
        </is>
      </c>
      <c r="G36" s="5" t="inlineStr">
        <is>
          <t>TD-REG-001</t>
        </is>
      </c>
      <c r="H36" s="5" t="inlineStr">
        <is>
          <t>DE190533 + EV001</t>
        </is>
      </c>
      <c r="I36" s="5" t="inlineStr">
        <is>
          <t>Registration status = REGISTERED.</t>
        </is>
      </c>
      <c r="J36" s="5" t="inlineStr">
        <is>
          <t>High</t>
        </is>
      </c>
      <c r="K36" s="5" t="inlineStr">
        <is>
          <t>TuHNC</t>
        </is>
      </c>
      <c r="L36" s="5" t="inlineStr">
        <is>
          <t>Week 1</t>
        </is>
      </c>
      <c r="M36" s="5" t="inlineStr">
        <is>
          <t>Not Started</t>
        </is>
      </c>
      <c r="N36" s="5" t="inlineStr"/>
      <c r="O36" s="5" t="inlineStr"/>
    </row>
    <row r="37">
      <c r="A37" s="5" t="inlineStr">
        <is>
          <t>REG-002</t>
        </is>
      </c>
      <c r="B37" s="5" t="inlineStr">
        <is>
          <t>Registration &amp; Waitlist</t>
        </is>
      </c>
      <c r="C37" s="5" t="inlineStr">
        <is>
          <t>Prevent duplicate registration</t>
        </is>
      </c>
      <c r="D37" s="5" t="inlineStr">
        <is>
          <t>Verify same event cannot be registered twice.</t>
        </is>
      </c>
      <c r="E37" s="5" t="inlineStr">
        <is>
          <t>Student already registered.</t>
        </is>
      </c>
      <c r="F37" s="5" t="inlineStr">
        <is>
          <t>1. Click Register again</t>
        </is>
      </c>
      <c r="G37" s="5" t="inlineStr">
        <is>
          <t>TD-REG-002</t>
        </is>
      </c>
      <c r="H37" s="5" t="inlineStr">
        <is>
          <t>DE190533 + EV001 already registered</t>
        </is>
      </c>
      <c r="I37" s="5" t="inlineStr">
        <is>
          <t>Show already registered message.</t>
        </is>
      </c>
      <c r="J37" s="5" t="inlineStr">
        <is>
          <t>High</t>
        </is>
      </c>
      <c r="K37" s="5" t="inlineStr">
        <is>
          <t>TuHNC</t>
        </is>
      </c>
      <c r="L37" s="5" t="inlineStr">
        <is>
          <t>Week 1</t>
        </is>
      </c>
      <c r="M37" s="5" t="inlineStr">
        <is>
          <t>Not Started</t>
        </is>
      </c>
      <c r="N37" s="5" t="inlineStr"/>
      <c r="O37" s="5" t="inlineStr"/>
    </row>
    <row r="38">
      <c r="A38" s="5" t="inlineStr">
        <is>
          <t>REG-003</t>
        </is>
      </c>
      <c r="B38" s="5" t="inlineStr">
        <is>
          <t>Registration &amp; Waitlist</t>
        </is>
      </c>
      <c r="C38" s="5" t="inlineStr">
        <is>
          <t>Register full event goes to waitlist</t>
        </is>
      </c>
      <c r="D38" s="5" t="inlineStr">
        <is>
          <t>Verify waitlist when event is full.</t>
        </is>
      </c>
      <c r="E38" s="5" t="inlineStr">
        <is>
          <t>Event capacity reached.</t>
        </is>
      </c>
      <c r="F38" s="5" t="inlineStr">
        <is>
          <t>1. Open full event
2. Register</t>
        </is>
      </c>
      <c r="G38" s="5" t="inlineStr">
        <is>
          <t>TD-REG-003</t>
        </is>
      </c>
      <c r="H38" s="5" t="inlineStr">
        <is>
          <t>EV004 full capacity</t>
        </is>
      </c>
      <c r="I38" s="5" t="inlineStr">
        <is>
          <t>Student status = WAITLIST.</t>
        </is>
      </c>
      <c r="J38" s="5" t="inlineStr">
        <is>
          <t>High</t>
        </is>
      </c>
      <c r="K38" s="5" t="inlineStr">
        <is>
          <t>TuHNC</t>
        </is>
      </c>
      <c r="L38" s="5" t="inlineStr">
        <is>
          <t>Week 2</t>
        </is>
      </c>
      <c r="M38" s="5" t="inlineStr">
        <is>
          <t>Not Started</t>
        </is>
      </c>
      <c r="N38" s="5" t="inlineStr"/>
      <c r="O38" s="5" t="inlineStr"/>
    </row>
    <row r="39">
      <c r="A39" s="5" t="inlineStr">
        <is>
          <t>REG-004</t>
        </is>
      </c>
      <c r="B39" s="5" t="inlineStr">
        <is>
          <t>Registration &amp; Waitlist</t>
        </is>
      </c>
      <c r="C39" s="5" t="inlineStr">
        <is>
          <t>Register closed event</t>
        </is>
      </c>
      <c r="D39" s="5" t="inlineStr">
        <is>
          <t>Verify closed event blocks registration.</t>
        </is>
      </c>
      <c r="E39" s="5" t="inlineStr">
        <is>
          <t>Registration closed/event started.</t>
        </is>
      </c>
      <c r="F39" s="5" t="inlineStr">
        <is>
          <t>1. Open closed event
2. Register</t>
        </is>
      </c>
      <c r="G39" s="5" t="inlineStr">
        <is>
          <t>TD-REG-004</t>
        </is>
      </c>
      <c r="H39" s="5" t="inlineStr">
        <is>
          <t>EV005 closed</t>
        </is>
      </c>
      <c r="I39" s="5" t="inlineStr">
        <is>
          <t>Show registration closed message.</t>
        </is>
      </c>
      <c r="J39" s="5" t="inlineStr">
        <is>
          <t>High</t>
        </is>
      </c>
      <c r="K39" s="5" t="inlineStr">
        <is>
          <t>TuHNC</t>
        </is>
      </c>
      <c r="L39" s="5" t="inlineStr">
        <is>
          <t>Week 2</t>
        </is>
      </c>
      <c r="M39" s="5" t="inlineStr">
        <is>
          <t>Not Started</t>
        </is>
      </c>
      <c r="N39" s="5" t="inlineStr"/>
      <c r="O39" s="5" t="inlineStr"/>
    </row>
    <row r="40">
      <c r="A40" s="5" t="inlineStr">
        <is>
          <t>REG-005</t>
        </is>
      </c>
      <c r="B40" s="5" t="inlineStr">
        <is>
          <t>Registration &amp; Waitlist</t>
        </is>
      </c>
      <c r="C40" s="5" t="inlineStr">
        <is>
          <t>Cancel registration</t>
        </is>
      </c>
      <c r="D40" s="5" t="inlineStr">
        <is>
          <t>Verify student can cancel before deadline.</t>
        </is>
      </c>
      <c r="E40" s="5" t="inlineStr">
        <is>
          <t>Student registered.</t>
        </is>
      </c>
      <c r="F40" s="5" t="inlineStr">
        <is>
          <t>1. Open My Registrations
2. Click Cancel</t>
        </is>
      </c>
      <c r="G40" s="5" t="inlineStr">
        <is>
          <t>TD-REG-005</t>
        </is>
      </c>
      <c r="H40" s="5" t="inlineStr">
        <is>
          <t>Registration R001</t>
        </is>
      </c>
      <c r="I40" s="5" t="inlineStr">
        <is>
          <t>Status becomes CANCELLED; slot released.</t>
        </is>
      </c>
      <c r="J40" s="5" t="inlineStr">
        <is>
          <t>Medium</t>
        </is>
      </c>
      <c r="K40" s="5" t="inlineStr">
        <is>
          <t>TuHNC</t>
        </is>
      </c>
      <c r="L40" s="5" t="inlineStr">
        <is>
          <t>Week 2</t>
        </is>
      </c>
      <c r="M40" s="5" t="inlineStr">
        <is>
          <t>Not Started</t>
        </is>
      </c>
      <c r="N40" s="5" t="inlineStr"/>
      <c r="O40" s="5" t="inlineStr"/>
    </row>
    <row r="41">
      <c r="A41" s="5" t="inlineStr">
        <is>
          <t>REG-006</t>
        </is>
      </c>
      <c r="B41" s="5" t="inlineStr">
        <is>
          <t>Registration &amp; Waitlist</t>
        </is>
      </c>
      <c r="C41" s="5" t="inlineStr">
        <is>
          <t>Promote waitlist after cancellation</t>
        </is>
      </c>
      <c r="D41" s="5" t="inlineStr">
        <is>
          <t>Verify waitlist promotion.</t>
        </is>
      </c>
      <c r="E41" s="5" t="inlineStr">
        <is>
          <t>Event full with waitlist; one user cancels.</t>
        </is>
      </c>
      <c r="F41" s="5" t="inlineStr">
        <is>
          <t>1. Cancel registered user
2. Check first waitlist user</t>
        </is>
      </c>
      <c r="G41" s="5" t="inlineStr">
        <is>
          <t>TD-REG-006</t>
        </is>
      </c>
      <c r="H41" s="5" t="inlineStr">
        <is>
          <t>Waitlist W001</t>
        </is>
      </c>
      <c r="I41" s="5" t="inlineStr">
        <is>
          <t>First waitlisted student promoted/notified.</t>
        </is>
      </c>
      <c r="J41" s="5" t="inlineStr">
        <is>
          <t>High</t>
        </is>
      </c>
      <c r="K41" s="5" t="inlineStr">
        <is>
          <t>TuHNC</t>
        </is>
      </c>
      <c r="L41" s="5" t="inlineStr">
        <is>
          <t>Week 3</t>
        </is>
      </c>
      <c r="M41" s="5" t="inlineStr">
        <is>
          <t>Not Started</t>
        </is>
      </c>
      <c r="N41" s="5" t="inlineStr"/>
      <c r="O41" s="5" t="inlineStr"/>
    </row>
    <row r="42">
      <c r="A42" s="5" t="inlineStr">
        <is>
          <t>REG-007</t>
        </is>
      </c>
      <c r="B42" s="5" t="inlineStr">
        <is>
          <t>Registration &amp; Waitlist</t>
        </is>
      </c>
      <c r="C42" s="5" t="inlineStr">
        <is>
          <t>View my registered events</t>
        </is>
      </c>
      <c r="D42" s="5" t="inlineStr">
        <is>
          <t>Verify student can view registrations.</t>
        </is>
      </c>
      <c r="E42" s="5" t="inlineStr">
        <is>
          <t>Student has registration history.</t>
        </is>
      </c>
      <c r="F42" s="5" t="inlineStr">
        <is>
          <t>1. Open My Events page</t>
        </is>
      </c>
      <c r="G42" s="5" t="inlineStr">
        <is>
          <t>TD-REG-007</t>
        </is>
      </c>
      <c r="H42" s="5" t="inlineStr">
        <is>
          <t>DE190533 registrations</t>
        </is>
      </c>
      <c r="I42" s="5" t="inlineStr">
        <is>
          <t>Show registered/waitlisted/canceled events.</t>
        </is>
      </c>
      <c r="J42" s="5" t="inlineStr">
        <is>
          <t>Medium</t>
        </is>
      </c>
      <c r="K42" s="5" t="inlineStr">
        <is>
          <t>TuHNC</t>
        </is>
      </c>
      <c r="L42" s="5" t="inlineStr">
        <is>
          <t>Week 3</t>
        </is>
      </c>
      <c r="M42" s="5" t="inlineStr">
        <is>
          <t>Not Started</t>
        </is>
      </c>
      <c r="N42" s="5" t="inlineStr"/>
      <c r="O42" s="5" t="inlineStr"/>
    </row>
    <row r="43">
      <c r="A43" s="5" t="inlineStr">
        <is>
          <t>REG-008</t>
        </is>
      </c>
      <c r="B43" s="5" t="inlineStr">
        <is>
          <t>Registration &amp; Waitlist</t>
        </is>
      </c>
      <c r="C43" s="5" t="inlineStr">
        <is>
          <t>Unauthorized registration attempt</t>
        </is>
      </c>
      <c r="D43" s="5" t="inlineStr">
        <is>
          <t>Verify login required to register.</t>
        </is>
      </c>
      <c r="E43" s="5" t="inlineStr">
        <is>
          <t>User not logged in.</t>
        </is>
      </c>
      <c r="F43" s="5" t="inlineStr">
        <is>
          <t>1. Open register URL directly</t>
        </is>
      </c>
      <c r="G43" s="5" t="inlineStr">
        <is>
          <t>TD-REG-008</t>
        </is>
      </c>
      <c r="H43" s="5" t="inlineStr">
        <is>
          <t>POST /events/{id}/register</t>
        </is>
      </c>
      <c r="I43" s="5" t="inlineStr">
        <is>
          <t>Redirect to login; no registration created.</t>
        </is>
      </c>
      <c r="J43" s="5" t="inlineStr">
        <is>
          <t>High</t>
        </is>
      </c>
      <c r="K43" s="5" t="inlineStr">
        <is>
          <t>TuHNC</t>
        </is>
      </c>
      <c r="L43" s="5" t="inlineStr">
        <is>
          <t>Week 3</t>
        </is>
      </c>
      <c r="M43" s="5" t="inlineStr">
        <is>
          <t>Not Started</t>
        </is>
      </c>
      <c r="N43" s="5" t="inlineStr"/>
      <c r="O43" s="5" t="inlineStr"/>
    </row>
    <row r="44">
      <c r="A44" s="5" t="inlineStr">
        <is>
          <t>RBL-001</t>
        </is>
      </c>
      <c r="B44" s="5" t="inlineStr">
        <is>
          <t>RBL Priority</t>
        </is>
      </c>
      <c r="C44" s="5" t="inlineStr">
        <is>
          <t>Major exact match score</t>
        </is>
      </c>
      <c r="D44" s="5" t="inlineStr">
        <is>
          <t>Verify exact major gets highest score.</t>
        </is>
      </c>
      <c r="E44" s="5" t="inlineStr">
        <is>
          <t>Student major matches event department.</t>
        </is>
      </c>
      <c r="F44" s="5" t="inlineStr">
        <is>
          <t>1. Register SE student for SE/IT event
2. Calculate score</t>
        </is>
      </c>
      <c r="G44" s="5" t="inlineStr">
        <is>
          <t>TD-RBL-001</t>
        </is>
      </c>
      <c r="H44" s="5" t="inlineStr">
        <is>
          <t>SE student + SE event</t>
        </is>
      </c>
      <c r="I44" s="5" t="inlineStr">
        <is>
          <t>Major score M = 100.</t>
        </is>
      </c>
      <c r="J44" s="5" t="inlineStr">
        <is>
          <t>High</t>
        </is>
      </c>
      <c r="K44" s="5" t="inlineStr">
        <is>
          <t>TuHNC</t>
        </is>
      </c>
      <c r="L44" s="5" t="inlineStr">
        <is>
          <t>Week 4</t>
        </is>
      </c>
      <c r="M44" s="5" t="inlineStr">
        <is>
          <t>Not Started</t>
        </is>
      </c>
      <c r="N44" s="5" t="inlineStr"/>
      <c r="O44" s="5" t="inlineStr"/>
    </row>
    <row r="45">
      <c r="A45" s="5" t="inlineStr">
        <is>
          <t>RBL-002</t>
        </is>
      </c>
      <c r="B45" s="5" t="inlineStr">
        <is>
          <t>RBL Priority</t>
        </is>
      </c>
      <c r="C45" s="5" t="inlineStr">
        <is>
          <t>Related major score</t>
        </is>
      </c>
      <c r="D45" s="5" t="inlineStr">
        <is>
          <t>Verify related major gets medium score.</t>
        </is>
      </c>
      <c r="E45" s="5" t="inlineStr">
        <is>
          <t>Student and event same faculty but different major.</t>
        </is>
      </c>
      <c r="F45" s="5" t="inlineStr">
        <is>
          <t>1. Register related-major student
2. Calculate score</t>
        </is>
      </c>
      <c r="G45" s="5" t="inlineStr">
        <is>
          <t>TD-RBL-002</t>
        </is>
      </c>
      <c r="H45" s="5" t="inlineStr">
        <is>
          <t>AI student + IT event</t>
        </is>
      </c>
      <c r="I45" s="5" t="inlineStr">
        <is>
          <t>Major score M = 60/70.</t>
        </is>
      </c>
      <c r="J45" s="5" t="inlineStr">
        <is>
          <t>Medium</t>
        </is>
      </c>
      <c r="K45" s="5" t="inlineStr">
        <is>
          <t>TuHNC</t>
        </is>
      </c>
      <c r="L45" s="5" t="inlineStr">
        <is>
          <t>Week 4</t>
        </is>
      </c>
      <c r="M45" s="5" t="inlineStr">
        <is>
          <t>Not Started</t>
        </is>
      </c>
      <c r="N45" s="5" t="inlineStr"/>
      <c r="O45" s="5" t="inlineStr"/>
    </row>
    <row r="46">
      <c r="A46" s="5" t="inlineStr">
        <is>
          <t>RBL-003</t>
        </is>
      </c>
      <c r="B46" s="5" t="inlineStr">
        <is>
          <t>RBL Priority</t>
        </is>
      </c>
      <c r="C46" s="5" t="inlineStr">
        <is>
          <t>Different major score</t>
        </is>
      </c>
      <c r="D46" s="5" t="inlineStr">
        <is>
          <t>Verify unrelated major gets low score.</t>
        </is>
      </c>
      <c r="E46" s="5" t="inlineStr">
        <is>
          <t>Student major not related.</t>
        </is>
      </c>
      <c r="F46" s="5" t="inlineStr">
        <is>
          <t>1. Register Business student for AI event
2. Calculate score</t>
        </is>
      </c>
      <c r="G46" s="5" t="inlineStr">
        <is>
          <t>TD-RBL-003</t>
        </is>
      </c>
      <c r="H46" s="5" t="inlineStr">
        <is>
          <t>Business student + AI Workshop</t>
        </is>
      </c>
      <c r="I46" s="5" t="inlineStr">
        <is>
          <t>Major score M = 30/40.</t>
        </is>
      </c>
      <c r="J46" s="5" t="inlineStr">
        <is>
          <t>Medium</t>
        </is>
      </c>
      <c r="K46" s="5" t="inlineStr">
        <is>
          <t>TuHNC</t>
        </is>
      </c>
      <c r="L46" s="5" t="inlineStr">
        <is>
          <t>Week 4</t>
        </is>
      </c>
      <c r="M46" s="5" t="inlineStr">
        <is>
          <t>Not Started</t>
        </is>
      </c>
      <c r="N46" s="5" t="inlineStr"/>
      <c r="O46" s="5" t="inlineStr"/>
    </row>
    <row r="47">
      <c r="A47" s="5" t="inlineStr">
        <is>
          <t>RBL-004</t>
        </is>
      </c>
      <c r="B47" s="5" t="inlineStr">
        <is>
          <t>RBL Priority</t>
        </is>
      </c>
      <c r="C47" s="5" t="inlineStr">
        <is>
          <t>Final semester priority</t>
        </is>
      </c>
      <c r="D47" s="5" t="inlineStr">
        <is>
          <t>Verify final semester gets high semester score.</t>
        </is>
      </c>
      <c r="E47" s="5" t="inlineStr">
        <is>
          <t>Student semester = 9.</t>
        </is>
      </c>
      <c r="F47" s="5" t="inlineStr">
        <is>
          <t>1. Calculate priority for semester 9</t>
        </is>
      </c>
      <c r="G47" s="5" t="inlineStr">
        <is>
          <t>TD-RBL-004</t>
        </is>
      </c>
      <c r="H47" s="5" t="inlineStr">
        <is>
          <t>Semester 9</t>
        </is>
      </c>
      <c r="I47" s="5" t="inlineStr">
        <is>
          <t>Semester score S = 100.</t>
        </is>
      </c>
      <c r="J47" s="5" t="inlineStr">
        <is>
          <t>High</t>
        </is>
      </c>
      <c r="K47" s="5" t="inlineStr">
        <is>
          <t>TuHNC</t>
        </is>
      </c>
      <c r="L47" s="5" t="inlineStr">
        <is>
          <t>Week 5</t>
        </is>
      </c>
      <c r="M47" s="5" t="inlineStr">
        <is>
          <t>Not Started</t>
        </is>
      </c>
      <c r="N47" s="5" t="inlineStr"/>
      <c r="O47" s="5" t="inlineStr"/>
    </row>
    <row r="48">
      <c r="A48" s="5" t="inlineStr">
        <is>
          <t>RBL-005</t>
        </is>
      </c>
      <c r="B48" s="5" t="inlineStr">
        <is>
          <t>RBL Priority</t>
        </is>
      </c>
      <c r="C48" s="5" t="inlineStr">
        <is>
          <t>Low semester priority</t>
        </is>
      </c>
      <c r="D48" s="5" t="inlineStr">
        <is>
          <t>Verify low semester gets lower score.</t>
        </is>
      </c>
      <c r="E48" s="5" t="inlineStr">
        <is>
          <t>Student semester = 1.</t>
        </is>
      </c>
      <c r="F48" s="5" t="inlineStr">
        <is>
          <t>1. Calculate score for semester 1</t>
        </is>
      </c>
      <c r="G48" s="5" t="inlineStr">
        <is>
          <t>TD-RBL-005</t>
        </is>
      </c>
      <c r="H48" s="5" t="inlineStr">
        <is>
          <t>Semester 1</t>
        </is>
      </c>
      <c r="I48" s="5" t="inlineStr">
        <is>
          <t>Semester score around 11.11.</t>
        </is>
      </c>
      <c r="J48" s="5" t="inlineStr">
        <is>
          <t>Medium</t>
        </is>
      </c>
      <c r="K48" s="5" t="inlineStr">
        <is>
          <t>TuHNC</t>
        </is>
      </c>
      <c r="L48" s="5" t="inlineStr">
        <is>
          <t>Week 5</t>
        </is>
      </c>
      <c r="M48" s="5" t="inlineStr">
        <is>
          <t>Not Started</t>
        </is>
      </c>
      <c r="N48" s="5" t="inlineStr"/>
      <c r="O48" s="5" t="inlineStr"/>
    </row>
    <row r="49">
      <c r="A49" s="5" t="inlineStr">
        <is>
          <t>RBL-006</t>
        </is>
      </c>
      <c r="B49" s="5" t="inlineStr">
        <is>
          <t>RBL Priority</t>
        </is>
      </c>
      <c r="C49" s="5" t="inlineStr">
        <is>
          <t>Points over 100 normalization</t>
        </is>
      </c>
      <c r="D49" s="5" t="inlineStr">
        <is>
          <t>Verify points over 100 remain within score range.</t>
        </is>
      </c>
      <c r="E49" s="5" t="inlineStr">
        <is>
          <t>Student points &gt; 100.</t>
        </is>
      </c>
      <c r="F49" s="5" t="inlineStr">
        <is>
          <t>1. Calculate score
2. Check P component</t>
        </is>
      </c>
      <c r="G49" s="5" t="inlineStr">
        <is>
          <t>TD-RBL-006</t>
        </is>
      </c>
      <c r="H49" s="5" t="inlineStr">
        <is>
          <t>Points = 400</t>
        </is>
      </c>
      <c r="I49" s="5" t="inlineStr">
        <is>
          <t>P is normalized/capped within 0–100.</t>
        </is>
      </c>
      <c r="J49" s="5" t="inlineStr">
        <is>
          <t>High</t>
        </is>
      </c>
      <c r="K49" s="5" t="inlineStr">
        <is>
          <t>TuHNC</t>
        </is>
      </c>
      <c r="L49" s="5" t="inlineStr">
        <is>
          <t>Week 5</t>
        </is>
      </c>
      <c r="M49" s="5" t="inlineStr">
        <is>
          <t>Not Started</t>
        </is>
      </c>
      <c r="N49" s="5" t="inlineStr"/>
      <c r="O49" s="5" t="inlineStr"/>
    </row>
    <row r="50">
      <c r="A50" s="5" t="inlineStr">
        <is>
          <t>RBL-007</t>
        </is>
      </c>
      <c r="B50" s="5" t="inlineStr">
        <is>
          <t>RBL Priority</t>
        </is>
      </c>
      <c r="C50" s="5" t="inlineStr">
        <is>
          <t>Priority ranking order</t>
        </is>
      </c>
      <c r="D50" s="5" t="inlineStr">
        <is>
          <t>Verify ranking sorted by Priority Score.</t>
        </is>
      </c>
      <c r="E50" s="5" t="inlineStr">
        <is>
          <t>Multiple students register same event.</t>
        </is>
      </c>
      <c r="F50" s="5" t="inlineStr">
        <is>
          <t>1. Register A/B/C/D
2. Run ranking
3. Check order</t>
        </is>
      </c>
      <c r="G50" s="5" t="inlineStr">
        <is>
          <t>TD-RBL-007</t>
        </is>
      </c>
      <c r="H50" s="5" t="inlineStr">
        <is>
          <t>A match sem9 95; D other sem2 40</t>
        </is>
      </c>
      <c r="I50" s="5" t="inlineStr">
        <is>
          <t>Sorted descending by total score.</t>
        </is>
      </c>
      <c r="J50" s="5" t="inlineStr">
        <is>
          <t>High</t>
        </is>
      </c>
      <c r="K50" s="5" t="inlineStr">
        <is>
          <t>TuHNC</t>
        </is>
      </c>
      <c r="L50" s="5" t="inlineStr">
        <is>
          <t>Week 5</t>
        </is>
      </c>
      <c r="M50" s="5" t="inlineStr">
        <is>
          <t>Not Started</t>
        </is>
      </c>
      <c r="N50" s="5" t="inlineStr"/>
      <c r="O50" s="5" t="inlineStr"/>
    </row>
    <row r="51">
      <c r="A51" s="5" t="inlineStr">
        <is>
          <t>ATT-001</t>
        </is>
      </c>
      <c r="B51" s="5" t="inlineStr">
        <is>
          <t>Dynamic QR Attendance</t>
        </is>
      </c>
      <c r="C51" s="5" t="inlineStr">
        <is>
          <t>Generate dynamic QR token</t>
        </is>
      </c>
      <c r="D51" s="5" t="inlineStr">
        <is>
          <t>Verify Department can generate QR.</t>
        </is>
      </c>
      <c r="E51" s="5" t="inlineStr">
        <is>
          <t>Department logged in; event exists.</t>
        </is>
      </c>
      <c r="F51" s="5" t="inlineStr">
        <is>
          <t>1. Open QR page
2. Start check-in session</t>
        </is>
      </c>
      <c r="G51" s="5" t="inlineStr">
        <is>
          <t>TD-ATT-001</t>
        </is>
      </c>
      <c r="H51" s="5" t="inlineStr">
        <is>
          <t>EV001 active session</t>
        </is>
      </c>
      <c r="I51" s="5" t="inlineStr">
        <is>
          <t>Active token and QR image generated.</t>
        </is>
      </c>
      <c r="J51" s="5" t="inlineStr">
        <is>
          <t>High</t>
        </is>
      </c>
      <c r="K51" s="5" t="inlineStr">
        <is>
          <t>SangTM</t>
        </is>
      </c>
      <c r="L51" s="5" t="inlineStr">
        <is>
          <t>Week 6</t>
        </is>
      </c>
      <c r="M51" s="5" t="inlineStr">
        <is>
          <t>Not Started</t>
        </is>
      </c>
      <c r="N51" s="5" t="inlineStr"/>
      <c r="O51" s="5" t="inlineStr"/>
    </row>
    <row r="52">
      <c r="A52" s="5" t="inlineStr">
        <is>
          <t>ATT-002</t>
        </is>
      </c>
      <c r="B52" s="5" t="inlineStr">
        <is>
          <t>Dynamic QR Attendance</t>
        </is>
      </c>
      <c r="C52" s="5" t="inlineStr">
        <is>
          <t>QR token expires after 3 minutes</t>
        </is>
      </c>
      <c r="D52" s="5" t="inlineStr">
        <is>
          <t>Verify old QR cannot be used.</t>
        </is>
      </c>
      <c r="E52" s="5" t="inlineStr">
        <is>
          <t>QR token generated.</t>
        </is>
      </c>
      <c r="F52" s="5" t="inlineStr">
        <is>
          <t>1. Wait &gt;3 minutes
2. Scan old QR</t>
        </is>
      </c>
      <c r="G52" s="5" t="inlineStr">
        <is>
          <t>TD-ATT-002</t>
        </is>
      </c>
      <c r="H52" s="5" t="inlineStr">
        <is>
          <t>QR_EXPIRED_001</t>
        </is>
      </c>
      <c r="I52" s="5" t="inlineStr">
        <is>
          <t>System rejects expired token.</t>
        </is>
      </c>
      <c r="J52" s="5" t="inlineStr">
        <is>
          <t>High</t>
        </is>
      </c>
      <c r="K52" s="5" t="inlineStr">
        <is>
          <t>SangTM</t>
        </is>
      </c>
      <c r="L52" s="5" t="inlineStr">
        <is>
          <t>Week 6</t>
        </is>
      </c>
      <c r="M52" s="5" t="inlineStr">
        <is>
          <t>Not Started</t>
        </is>
      </c>
      <c r="N52" s="5" t="inlineStr"/>
      <c r="O52" s="5" t="inlineStr"/>
    </row>
    <row r="53">
      <c r="A53" s="5" t="inlineStr">
        <is>
          <t>ATT-003</t>
        </is>
      </c>
      <c r="B53" s="5" t="inlineStr">
        <is>
          <t>Dynamic QR Attendance</t>
        </is>
      </c>
      <c r="C53" s="5" t="inlineStr">
        <is>
          <t>QR refreshes automatically</t>
        </is>
      </c>
      <c r="D53" s="5" t="inlineStr">
        <is>
          <t>Verify QR changes periodically.</t>
        </is>
      </c>
      <c r="E53" s="5" t="inlineStr">
        <is>
          <t>QR page open.</t>
        </is>
      </c>
      <c r="F53" s="5" t="inlineStr">
        <is>
          <t>1. Wait 3 minutes
2. Compare token</t>
        </is>
      </c>
      <c r="G53" s="5" t="inlineStr">
        <is>
          <t>TD-ATT-003</t>
        </is>
      </c>
      <c r="H53" s="5" t="inlineStr">
        <is>
          <t>QR token before/after</t>
        </is>
      </c>
      <c r="I53" s="5" t="inlineStr">
        <is>
          <t>New QR token displayed automatically.</t>
        </is>
      </c>
      <c r="J53" s="5" t="inlineStr">
        <is>
          <t>High</t>
        </is>
      </c>
      <c r="K53" s="5" t="inlineStr">
        <is>
          <t>SangTM</t>
        </is>
      </c>
      <c r="L53" s="5" t="inlineStr">
        <is>
          <t>Week 6</t>
        </is>
      </c>
      <c r="M53" s="5" t="inlineStr">
        <is>
          <t>Not Started</t>
        </is>
      </c>
      <c r="N53" s="5" t="inlineStr"/>
      <c r="O53" s="5" t="inlineStr"/>
    </row>
    <row r="54">
      <c r="A54" s="5" t="inlineStr">
        <is>
          <t>ATT-004</t>
        </is>
      </c>
      <c r="B54" s="5" t="inlineStr">
        <is>
          <t>Dynamic QR Attendance</t>
        </is>
      </c>
      <c r="C54" s="5" t="inlineStr">
        <is>
          <t>Valid QR check-in</t>
        </is>
      </c>
      <c r="D54" s="5" t="inlineStr">
        <is>
          <t>Verify registered student can check in.</t>
        </is>
      </c>
      <c r="E54" s="5" t="inlineStr">
        <is>
          <t>Student registered and logged in; QR active.</t>
        </is>
      </c>
      <c r="F54" s="5" t="inlineStr">
        <is>
          <t>1. Scan current QR
2. Confirm check-in</t>
        </is>
      </c>
      <c r="G54" s="5" t="inlineStr">
        <is>
          <t>TD-ATT-004</t>
        </is>
      </c>
      <c r="H54" s="5" t="inlineStr">
        <is>
          <t>DE190533 + QR_ACTIVE_001</t>
        </is>
      </c>
      <c r="I54" s="5" t="inlineStr">
        <is>
          <t>Attendance status = CHECKED_IN.</t>
        </is>
      </c>
      <c r="J54" s="5" t="inlineStr">
        <is>
          <t>High</t>
        </is>
      </c>
      <c r="K54" s="5" t="inlineStr">
        <is>
          <t>SangTM</t>
        </is>
      </c>
      <c r="L54" s="5" t="inlineStr">
        <is>
          <t>Week 7</t>
        </is>
      </c>
      <c r="M54" s="5" t="inlineStr">
        <is>
          <t>Not Started</t>
        </is>
      </c>
      <c r="N54" s="5" t="inlineStr"/>
      <c r="O54" s="5" t="inlineStr"/>
    </row>
    <row r="55">
      <c r="A55" s="5" t="inlineStr">
        <is>
          <t>ATT-005</t>
        </is>
      </c>
      <c r="B55" s="5" t="inlineStr">
        <is>
          <t>Dynamic QR Attendance</t>
        </is>
      </c>
      <c r="C55" s="5" t="inlineStr">
        <is>
          <t>Invalid token check-in</t>
        </is>
      </c>
      <c r="D55" s="5" t="inlineStr">
        <is>
          <t>Verify fake token is rejected.</t>
        </is>
      </c>
      <c r="E55" s="5" t="inlineStr">
        <is>
          <t>Student logged in and registered.</t>
        </is>
      </c>
      <c r="F55" s="5" t="inlineStr">
        <is>
          <t>1. Open check-in URL with fake token</t>
        </is>
      </c>
      <c r="G55" s="5" t="inlineStr">
        <is>
          <t>TD-ATT-005</t>
        </is>
      </c>
      <c r="H55" s="5" t="inlineStr">
        <is>
          <t>token=FAKE999</t>
        </is>
      </c>
      <c r="I55" s="5" t="inlineStr">
        <is>
          <t>System rejects check-in.</t>
        </is>
      </c>
      <c r="J55" s="5" t="inlineStr">
        <is>
          <t>High</t>
        </is>
      </c>
      <c r="K55" s="5" t="inlineStr">
        <is>
          <t>SangTM</t>
        </is>
      </c>
      <c r="L55" s="5" t="inlineStr">
        <is>
          <t>Week 7</t>
        </is>
      </c>
      <c r="M55" s="5" t="inlineStr">
        <is>
          <t>Not Started</t>
        </is>
      </c>
      <c r="N55" s="5" t="inlineStr"/>
      <c r="O55" s="5" t="inlineStr"/>
    </row>
    <row r="56">
      <c r="A56" s="5" t="inlineStr">
        <is>
          <t>ATT-006</t>
        </is>
      </c>
      <c r="B56" s="5" t="inlineStr">
        <is>
          <t>Dynamic QR Attendance</t>
        </is>
      </c>
      <c r="C56" s="5" t="inlineStr">
        <is>
          <t>Duplicate check-in</t>
        </is>
      </c>
      <c r="D56" s="5" t="inlineStr">
        <is>
          <t>Verify one student cannot check in twice.</t>
        </is>
      </c>
      <c r="E56" s="5" t="inlineStr">
        <is>
          <t>Student already CHECKED_IN.</t>
        </is>
      </c>
      <c r="F56" s="5" t="inlineStr">
        <is>
          <t>1. Scan valid QR again</t>
        </is>
      </c>
      <c r="G56" s="5" t="inlineStr">
        <is>
          <t>TD-ATT-006</t>
        </is>
      </c>
      <c r="H56" s="5" t="inlineStr">
        <is>
          <t>Same student + same event</t>
        </is>
      </c>
      <c r="I56" s="5" t="inlineStr">
        <is>
          <t>Show already checked-in message.</t>
        </is>
      </c>
      <c r="J56" s="5" t="inlineStr">
        <is>
          <t>High</t>
        </is>
      </c>
      <c r="K56" s="5" t="inlineStr">
        <is>
          <t>SangTM</t>
        </is>
      </c>
      <c r="L56" s="5" t="inlineStr">
        <is>
          <t>Week 7</t>
        </is>
      </c>
      <c r="M56" s="5" t="inlineStr">
        <is>
          <t>Not Started</t>
        </is>
      </c>
      <c r="N56" s="5" t="inlineStr"/>
      <c r="O56" s="5" t="inlineStr"/>
    </row>
    <row r="57">
      <c r="A57" s="5" t="inlineStr">
        <is>
          <t>ATT-007</t>
        </is>
      </c>
      <c r="B57" s="5" t="inlineStr">
        <is>
          <t>Dynamic QR Attendance</t>
        </is>
      </c>
      <c r="C57" s="5" t="inlineStr">
        <is>
          <t>Unregistered student scans QR</t>
        </is>
      </c>
      <c r="D57" s="5" t="inlineStr">
        <is>
          <t>Verify only registered students check in.</t>
        </is>
      </c>
      <c r="E57" s="5" t="inlineStr">
        <is>
          <t>Student not registered.</t>
        </is>
      </c>
      <c r="F57" s="5" t="inlineStr">
        <is>
          <t>1. Login unregistered student
2. Scan QR</t>
        </is>
      </c>
      <c r="G57" s="5" t="inlineStr">
        <is>
          <t>TD-ATT-007</t>
        </is>
      </c>
      <c r="H57" s="5" t="inlineStr">
        <is>
          <t>DE190540 + EV001</t>
        </is>
      </c>
      <c r="I57" s="5" t="inlineStr">
        <is>
          <t>Reject due to no registration.</t>
        </is>
      </c>
      <c r="J57" s="5" t="inlineStr">
        <is>
          <t>High</t>
        </is>
      </c>
      <c r="K57" s="5" t="inlineStr">
        <is>
          <t>SangTM</t>
        </is>
      </c>
      <c r="L57" s="5" t="inlineStr">
        <is>
          <t>Week 7</t>
        </is>
      </c>
      <c r="M57" s="5" t="inlineStr">
        <is>
          <t>Not Started</t>
        </is>
      </c>
      <c r="N57" s="5" t="inlineStr"/>
      <c r="O57" s="5" t="inlineStr"/>
    </row>
    <row r="58">
      <c r="A58" s="5" t="inlineStr">
        <is>
          <t>ATT-008</t>
        </is>
      </c>
      <c r="B58" s="5" t="inlineStr">
        <is>
          <t>Dynamic QR Attendance</t>
        </is>
      </c>
      <c r="C58" s="5" t="inlineStr">
        <is>
          <t>Mid-session verification</t>
        </is>
      </c>
      <c r="D58" s="5" t="inlineStr">
        <is>
          <t>Verify mid-session QR updates status.</t>
        </is>
      </c>
      <c r="E58" s="5" t="inlineStr">
        <is>
          <t>Student CHECKED_IN.</t>
        </is>
      </c>
      <c r="F58" s="5" t="inlineStr">
        <is>
          <t>1. Department opens mid-session QR
2. Student scans</t>
        </is>
      </c>
      <c r="G58" s="5" t="inlineStr">
        <is>
          <t>TD-ATT-008</t>
        </is>
      </c>
      <c r="H58" s="5" t="inlineStr">
        <is>
          <t>MID token active</t>
        </is>
      </c>
      <c r="I58" s="5" t="inlineStr">
        <is>
          <t>Status becomes MID_VERIFIED.</t>
        </is>
      </c>
      <c r="J58" s="5" t="inlineStr">
        <is>
          <t>Medium</t>
        </is>
      </c>
      <c r="K58" s="5" t="inlineStr">
        <is>
          <t>SangTM</t>
        </is>
      </c>
      <c r="L58" s="5" t="inlineStr">
        <is>
          <t>Week 8</t>
        </is>
      </c>
      <c r="M58" s="5" t="inlineStr">
        <is>
          <t>Not Started</t>
        </is>
      </c>
      <c r="N58" s="5" t="inlineStr"/>
      <c r="O58" s="5" t="inlineStr"/>
    </row>
    <row r="59">
      <c r="A59" s="5" t="inlineStr">
        <is>
          <t>QUIZ-001</t>
        </is>
      </c>
      <c r="B59" s="5" t="inlineStr">
        <is>
          <t>Quiz &amp; Feedback</t>
        </is>
      </c>
      <c r="C59" s="5" t="inlineStr">
        <is>
          <t>Department creates quiz question</t>
        </is>
      </c>
      <c r="D59" s="5" t="inlineStr">
        <is>
          <t>Verify quiz creation.</t>
        </is>
      </c>
      <c r="E59" s="5" t="inlineStr">
        <is>
          <t>Department logged in; event exists.</t>
        </is>
      </c>
      <c r="F59" s="5" t="inlineStr">
        <is>
          <t>1. Open Quiz Management
2. Add question and answer
3. Save</t>
        </is>
      </c>
      <c r="G59" s="5" t="inlineStr">
        <is>
          <t>TD-QUIZ-001</t>
        </is>
      </c>
      <c r="H59" s="5" t="inlineStr">
        <is>
          <t>Question: Main topic?</t>
        </is>
      </c>
      <c r="I59" s="5" t="inlineStr">
        <is>
          <t>Question saved and linked to event.</t>
        </is>
      </c>
      <c r="J59" s="5" t="inlineStr">
        <is>
          <t>High</t>
        </is>
      </c>
      <c r="K59" s="5" t="inlineStr">
        <is>
          <t>SangTM</t>
        </is>
      </c>
      <c r="L59" s="5" t="inlineStr">
        <is>
          <t>Week 8</t>
        </is>
      </c>
      <c r="M59" s="5" t="inlineStr">
        <is>
          <t>Not Started</t>
        </is>
      </c>
      <c r="N59" s="5" t="inlineStr"/>
      <c r="O59" s="5" t="inlineStr"/>
    </row>
    <row r="60">
      <c r="A60" s="5" t="inlineStr">
        <is>
          <t>QUIZ-002</t>
        </is>
      </c>
      <c r="B60" s="5" t="inlineStr">
        <is>
          <t>Quiz &amp; Feedback</t>
        </is>
      </c>
      <c r="C60" s="5" t="inlineStr">
        <is>
          <t>Random checkout quiz</t>
        </is>
      </c>
      <c r="D60" s="5" t="inlineStr">
        <is>
          <t>Verify random questions at checkout.</t>
        </is>
      </c>
      <c r="E60" s="5" t="inlineStr">
        <is>
          <t>Event has question pool.</t>
        </is>
      </c>
      <c r="F60" s="5" t="inlineStr">
        <is>
          <t>1. Student opens checkout quiz
2. Check questions</t>
        </is>
      </c>
      <c r="G60" s="5" t="inlineStr">
        <is>
          <t>TD-QUIZ-002</t>
        </is>
      </c>
      <c r="H60" s="5" t="inlineStr">
        <is>
          <t>20-question pool; limit 5</t>
        </is>
      </c>
      <c r="I60" s="5" t="inlineStr">
        <is>
          <t>Random 5 questions displayed.</t>
        </is>
      </c>
      <c r="J60" s="5" t="inlineStr">
        <is>
          <t>Medium</t>
        </is>
      </c>
      <c r="K60" s="5" t="inlineStr">
        <is>
          <t>SangTM</t>
        </is>
      </c>
      <c r="L60" s="5" t="inlineStr">
        <is>
          <t>Week 8</t>
        </is>
      </c>
      <c r="M60" s="5" t="inlineStr">
        <is>
          <t>Not Started</t>
        </is>
      </c>
      <c r="N60" s="5" t="inlineStr"/>
      <c r="O60" s="5" t="inlineStr"/>
    </row>
    <row r="61">
      <c r="A61" s="5" t="inlineStr">
        <is>
          <t>QUIZ-003</t>
        </is>
      </c>
      <c r="B61" s="5" t="inlineStr">
        <is>
          <t>Quiz &amp; Feedback</t>
        </is>
      </c>
      <c r="C61" s="5" t="inlineStr">
        <is>
          <t>Submit correct quiz answers</t>
        </is>
      </c>
      <c r="D61" s="5" t="inlineStr">
        <is>
          <t>Verify quiz score calculation.</t>
        </is>
      </c>
      <c r="E61" s="5" t="inlineStr">
        <is>
          <t>Student checked in; quiz exists.</t>
        </is>
      </c>
      <c r="F61" s="5" t="inlineStr">
        <is>
          <t>1. Answer all correctly
2. Submit</t>
        </is>
      </c>
      <c r="G61" s="5" t="inlineStr">
        <is>
          <t>TD-QUIZ-003</t>
        </is>
      </c>
      <c r="H61" s="5" t="inlineStr">
        <is>
          <t>5 correct answers</t>
        </is>
      </c>
      <c r="I61" s="5" t="inlineStr">
        <is>
          <t>Quiz score = full score.</t>
        </is>
      </c>
      <c r="J61" s="5" t="inlineStr">
        <is>
          <t>High</t>
        </is>
      </c>
      <c r="K61" s="5" t="inlineStr">
        <is>
          <t>SangTM</t>
        </is>
      </c>
      <c r="L61" s="5" t="inlineStr">
        <is>
          <t>Week 8</t>
        </is>
      </c>
      <c r="M61" s="5" t="inlineStr">
        <is>
          <t>Not Started</t>
        </is>
      </c>
      <c r="N61" s="5" t="inlineStr"/>
      <c r="O61" s="5" t="inlineStr"/>
    </row>
    <row r="62">
      <c r="A62" s="5" t="inlineStr">
        <is>
          <t>QUIZ-004</t>
        </is>
      </c>
      <c r="B62" s="5" t="inlineStr">
        <is>
          <t>Quiz &amp; Feedback</t>
        </is>
      </c>
      <c r="C62" s="5" t="inlineStr">
        <is>
          <t>Submit incomplete quiz</t>
        </is>
      </c>
      <c r="D62" s="5" t="inlineStr">
        <is>
          <t>Verify required answers.</t>
        </is>
      </c>
      <c r="E62" s="5" t="inlineStr">
        <is>
          <t>Student checked in.</t>
        </is>
      </c>
      <c r="F62" s="5" t="inlineStr">
        <is>
          <t>1. Leave answer blank
2. Submit</t>
        </is>
      </c>
      <c r="G62" s="5" t="inlineStr">
        <is>
          <t>TD-QUIZ-004</t>
        </is>
      </c>
      <c r="H62" s="5" t="inlineStr">
        <is>
          <t>Missing answer</t>
        </is>
      </c>
      <c r="I62" s="5" t="inlineStr">
        <is>
          <t>Show required answer validation.</t>
        </is>
      </c>
      <c r="J62" s="5" t="inlineStr">
        <is>
          <t>Medium</t>
        </is>
      </c>
      <c r="K62" s="5" t="inlineStr">
        <is>
          <t>SangTM</t>
        </is>
      </c>
      <c r="L62" s="5" t="inlineStr">
        <is>
          <t>Week 9</t>
        </is>
      </c>
      <c r="M62" s="5" t="inlineStr">
        <is>
          <t>Not Started</t>
        </is>
      </c>
      <c r="N62" s="5" t="inlineStr"/>
      <c r="O62" s="5" t="inlineStr"/>
    </row>
    <row r="63">
      <c r="A63" s="5" t="inlineStr">
        <is>
          <t>QUIZ-005</t>
        </is>
      </c>
      <c r="B63" s="5" t="inlineStr">
        <is>
          <t>Quiz &amp; Feedback</t>
        </is>
      </c>
      <c r="C63" s="5" t="inlineStr">
        <is>
          <t>Submit feedback rating and comment</t>
        </is>
      </c>
      <c r="D63" s="5" t="inlineStr">
        <is>
          <t>Verify feedback is saved.</t>
        </is>
      </c>
      <c r="E63" s="5" t="inlineStr">
        <is>
          <t>Student completed quiz.</t>
        </is>
      </c>
      <c r="F63" s="5" t="inlineStr">
        <is>
          <t>1. Select rating
2. Enter comment
3. Submit</t>
        </is>
      </c>
      <c r="G63" s="5" t="inlineStr">
        <is>
          <t>TD-FB-001</t>
        </is>
      </c>
      <c r="H63" s="5" t="inlineStr">
        <is>
          <t>Rating 5; comment Good event</t>
        </is>
      </c>
      <c r="I63" s="5" t="inlineStr">
        <is>
          <t>Feedback saved successfully.</t>
        </is>
      </c>
      <c r="J63" s="5" t="inlineStr">
        <is>
          <t>High</t>
        </is>
      </c>
      <c r="K63" s="5" t="inlineStr">
        <is>
          <t>SangTM</t>
        </is>
      </c>
      <c r="L63" s="5" t="inlineStr">
        <is>
          <t>Week 9</t>
        </is>
      </c>
      <c r="M63" s="5" t="inlineStr">
        <is>
          <t>Not Started</t>
        </is>
      </c>
      <c r="N63" s="5" t="inlineStr"/>
      <c r="O63" s="5" t="inlineStr"/>
    </row>
    <row r="64">
      <c r="A64" s="5" t="inlineStr">
        <is>
          <t>QUIZ-006</t>
        </is>
      </c>
      <c r="B64" s="5" t="inlineStr">
        <is>
          <t>Quiz &amp; Feedback</t>
        </is>
      </c>
      <c r="C64" s="5" t="inlineStr">
        <is>
          <t>Prevent duplicate feedback</t>
        </is>
      </c>
      <c r="D64" s="5" t="inlineStr">
        <is>
          <t>Verify one feedback per event/student.</t>
        </is>
      </c>
      <c r="E64" s="5" t="inlineStr">
        <is>
          <t>Feedback already submitted.</t>
        </is>
      </c>
      <c r="F64" s="5" t="inlineStr">
        <is>
          <t>1. Open feedback again
2. Submit another response</t>
        </is>
      </c>
      <c r="G64" s="5" t="inlineStr">
        <is>
          <t>TD-FB-002</t>
        </is>
      </c>
      <c r="H64" s="5" t="inlineStr">
        <is>
          <t>Same student + same event</t>
        </is>
      </c>
      <c r="I64" s="5" t="inlineStr">
        <is>
          <t>Duplicate blocked or existing response updated based on rule.</t>
        </is>
      </c>
      <c r="J64" s="5" t="inlineStr">
        <is>
          <t>Medium</t>
        </is>
      </c>
      <c r="K64" s="5" t="inlineStr">
        <is>
          <t>SangTM</t>
        </is>
      </c>
      <c r="L64" s="5" t="inlineStr">
        <is>
          <t>Week 9</t>
        </is>
      </c>
      <c r="M64" s="5" t="inlineStr">
        <is>
          <t>Not Started</t>
        </is>
      </c>
      <c r="N64" s="5" t="inlineStr"/>
      <c r="O64" s="5" t="inlineStr"/>
    </row>
    <row r="65">
      <c r="A65" s="5" t="inlineStr">
        <is>
          <t>QUIZ-007</t>
        </is>
      </c>
      <c r="B65" s="5" t="inlineStr">
        <is>
          <t>Quiz &amp; Feedback</t>
        </is>
      </c>
      <c r="C65" s="5" t="inlineStr">
        <is>
          <t>Checkout completed after quiz and feedback</t>
        </is>
      </c>
      <c r="D65" s="5" t="inlineStr">
        <is>
          <t>Verify final attendance completion.</t>
        </is>
      </c>
      <c r="E65" s="5" t="inlineStr">
        <is>
          <t>Student has CHECKED_IN/MID_VERIFIED status.</t>
        </is>
      </c>
      <c r="F65" s="5" t="inlineStr">
        <is>
          <t>1. Submit quiz
2. Submit feedback
3. Complete checkout</t>
        </is>
      </c>
      <c r="G65" s="5" t="inlineStr">
        <is>
          <t>TD-CHECKOUT-001</t>
        </is>
      </c>
      <c r="H65" s="5" t="inlineStr">
        <is>
          <t>Valid quiz + feedback</t>
        </is>
      </c>
      <c r="I65" s="5" t="inlineStr">
        <is>
          <t>Attendance status = COMPLETED/CHECKED_OUT.</t>
        </is>
      </c>
      <c r="J65" s="5" t="inlineStr">
        <is>
          <t>High</t>
        </is>
      </c>
      <c r="K65" s="5" t="inlineStr">
        <is>
          <t>SangTM</t>
        </is>
      </c>
      <c r="L65" s="5" t="inlineStr">
        <is>
          <t>Week 9</t>
        </is>
      </c>
      <c r="M65" s="5" t="inlineStr">
        <is>
          <t>Not Started</t>
        </is>
      </c>
      <c r="N65" s="5" t="inlineStr"/>
      <c r="O65" s="5" t="inlineStr"/>
    </row>
    <row r="66">
      <c r="A66" s="5" t="inlineStr">
        <is>
          <t>DASH-001</t>
        </is>
      </c>
      <c r="B66" s="5" t="inlineStr">
        <is>
          <t>Dashboard/Email/Report</t>
        </is>
      </c>
      <c r="C66" s="5" t="inlineStr">
        <is>
          <t>Send registration confirmation email</t>
        </is>
      </c>
      <c r="D66" s="5" t="inlineStr">
        <is>
          <t>Verify email after registration.</t>
        </is>
      </c>
      <c r="E66" s="5" t="inlineStr">
        <is>
          <t>SMTP configured; registration success.</t>
        </is>
      </c>
      <c r="F66" s="5" t="inlineStr">
        <is>
          <t>1. Register event
2. Check email log</t>
        </is>
      </c>
      <c r="G66" s="5" t="inlineStr">
        <is>
          <t>TD-MAIL-001</t>
        </is>
      </c>
      <c r="H66" s="5" t="inlineStr">
        <is>
          <t>Registration confirmation email</t>
        </is>
      </c>
      <c r="I66" s="5" t="inlineStr">
        <is>
          <t>Email log saved with sent status.</t>
        </is>
      </c>
      <c r="J66" s="5" t="inlineStr">
        <is>
          <t>Medium</t>
        </is>
      </c>
      <c r="K66" s="5" t="inlineStr">
        <is>
          <t>SangTM</t>
        </is>
      </c>
      <c r="L66" s="5" t="inlineStr">
        <is>
          <t>Week 10</t>
        </is>
      </c>
      <c r="M66" s="5" t="inlineStr">
        <is>
          <t>Not Started</t>
        </is>
      </c>
      <c r="N66" s="5" t="inlineStr"/>
      <c r="O66" s="5" t="inlineStr"/>
    </row>
    <row r="67">
      <c r="A67" s="5" t="inlineStr">
        <is>
          <t>DASH-002</t>
        </is>
      </c>
      <c r="B67" s="5" t="inlineStr">
        <is>
          <t>Dashboard/Email/Report</t>
        </is>
      </c>
      <c r="C67" s="5" t="inlineStr">
        <is>
          <t>Department views attendance statistics</t>
        </is>
      </c>
      <c r="D67" s="5" t="inlineStr">
        <is>
          <t>Verify attendance dashboard counts.</t>
        </is>
      </c>
      <c r="E67" s="5" t="inlineStr">
        <is>
          <t>Event has attendance data.</t>
        </is>
      </c>
      <c r="F67" s="5" t="inlineStr">
        <is>
          <t>1. Open event dashboard
2. Check cards</t>
        </is>
      </c>
      <c r="G67" s="5" t="inlineStr">
        <is>
          <t>TD-DASH-001</t>
        </is>
      </c>
      <c r="H67" s="5" t="inlineStr">
        <is>
          <t>Registered 50, Checked-in 40, Completed 35</t>
        </is>
      </c>
      <c r="I67" s="5" t="inlineStr">
        <is>
          <t>Counts and rates are correct.</t>
        </is>
      </c>
      <c r="J67" s="5" t="inlineStr">
        <is>
          <t>High</t>
        </is>
      </c>
      <c r="K67" s="5" t="inlineStr">
        <is>
          <t>SangTM</t>
        </is>
      </c>
      <c r="L67" s="5" t="inlineStr">
        <is>
          <t>Week 10</t>
        </is>
      </c>
      <c r="M67" s="5" t="inlineStr">
        <is>
          <t>Not Started</t>
        </is>
      </c>
      <c r="N67" s="5" t="inlineStr"/>
      <c r="O67" s="5" t="inlineStr"/>
    </row>
    <row r="68">
      <c r="A68" s="5" t="inlineStr">
        <is>
          <t>DASH-003</t>
        </is>
      </c>
      <c r="B68" s="5" t="inlineStr">
        <is>
          <t>Dashboard/Email/Report</t>
        </is>
      </c>
      <c r="C68" s="5" t="inlineStr">
        <is>
          <t>View feedback statistics</t>
        </is>
      </c>
      <c r="D68" s="5" t="inlineStr">
        <is>
          <t>Verify feedback analytics.</t>
        </is>
      </c>
      <c r="E68" s="5" t="inlineStr">
        <is>
          <t>Event has feedback records.</t>
        </is>
      </c>
      <c r="F68" s="5" t="inlineStr">
        <is>
          <t>1. Open Feedback Statistics
2. Check average rating/comments</t>
        </is>
      </c>
      <c r="G68" s="5" t="inlineStr">
        <is>
          <t>TD-DASH-002</t>
        </is>
      </c>
      <c r="H68" s="5" t="inlineStr">
        <is>
          <t>Rating data and comments</t>
        </is>
      </c>
      <c r="I68" s="5" t="inlineStr">
        <is>
          <t>Average rating and comments displayed.</t>
        </is>
      </c>
      <c r="J68" s="5" t="inlineStr">
        <is>
          <t>Medium</t>
        </is>
      </c>
      <c r="K68" s="5" t="inlineStr">
        <is>
          <t>SangTM</t>
        </is>
      </c>
      <c r="L68" s="5" t="inlineStr">
        <is>
          <t>Week 10</t>
        </is>
      </c>
      <c r="M68" s="5" t="inlineStr">
        <is>
          <t>Not Started</t>
        </is>
      </c>
      <c r="N68" s="5" t="inlineStr"/>
      <c r="O68" s="5" t="inlineStr"/>
    </row>
    <row r="69">
      <c r="A69" s="5" t="inlineStr">
        <is>
          <t>DASH-004</t>
        </is>
      </c>
      <c r="B69" s="5" t="inlineStr">
        <is>
          <t>Dashboard/Email/Report</t>
        </is>
      </c>
      <c r="C69" s="5" t="inlineStr">
        <is>
          <t>Export event report</t>
        </is>
      </c>
      <c r="D69" s="5" t="inlineStr">
        <is>
          <t>Verify report export.</t>
        </is>
      </c>
      <c r="E69" s="5" t="inlineStr">
        <is>
          <t>Event has registration/attendance/feedback data.</t>
        </is>
      </c>
      <c r="F69" s="5" t="inlineStr">
        <is>
          <t>1. Open report page
2. Click Export Excel/PDF</t>
        </is>
      </c>
      <c r="G69" s="5" t="inlineStr">
        <is>
          <t>TD-REPORT-001</t>
        </is>
      </c>
      <c r="H69" s="5" t="inlineStr">
        <is>
          <t>EV001 report data</t>
        </is>
      </c>
      <c r="I69" s="5" t="inlineStr">
        <is>
          <t>Report file downloaded with correct data.</t>
        </is>
      </c>
      <c r="J69" s="5" t="inlineStr">
        <is>
          <t>Medium</t>
        </is>
      </c>
      <c r="K69" s="5" t="inlineStr">
        <is>
          <t>SangTM</t>
        </is>
      </c>
      <c r="L69" s="5" t="inlineStr">
        <is>
          <t>Week 10</t>
        </is>
      </c>
      <c r="M69" s="5" t="inlineStr">
        <is>
          <t>Not Started</t>
        </is>
      </c>
      <c r="N69" s="5" t="inlineStr"/>
      <c r="O69" s="5" t="inlineStr"/>
    </row>
  </sheetData>
  <autoFilter ref="A1:O69"/>
  <dataValidations count="4">
    <dataValidation sqref="M2:M69" showDropDown="0" showInputMessage="0" showErrorMessage="0" allowBlank="0" type="list">
      <formula1>"Not Started,In Progress,Passed,Failed,Blocked"</formula1>
    </dataValidation>
    <dataValidation sqref="J2:J69" showDropDown="0" showInputMessage="0" showErrorMessage="0" allowBlank="0" type="list">
      <formula1>"High,Medium,Low"</formula1>
    </dataValidation>
    <dataValidation sqref="K2:K69" showDropDown="0" showInputMessage="0" showErrorMessage="0" allowBlank="0" type="list">
      <formula1>"DatHVT,AnhNVT,TuHNC,SangTM"</formula1>
    </dataValidation>
    <dataValidation sqref="L2:L69" showDropDown="0" showInputMessage="0" showErrorMessage="0" allowBlank="0" type="list">
      <formula1>"Week 1,Week 2,Week 3,Week 4,Week 5,Week 6,Week 7,Week 8,Week 9,Week 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8" customWidth="1" min="4" max="4"/>
    <col width="18" customWidth="1" min="5" max="5"/>
    <col width="55" customWidth="1" min="6" max="6"/>
  </cols>
  <sheetData>
    <row r="1">
      <c r="A1" s="4" t="inlineStr">
        <is>
          <t>Data ID</t>
        </is>
      </c>
      <c r="B1" s="4" t="inlineStr">
        <is>
          <t>Role</t>
        </is>
      </c>
      <c r="C1" s="4" t="inlineStr">
        <is>
          <t>Email</t>
        </is>
      </c>
      <c r="D1" s="4" t="inlineStr">
        <is>
          <t>Password</t>
        </is>
      </c>
      <c r="E1" s="4" t="inlineStr">
        <is>
          <t>Account Status</t>
        </is>
      </c>
      <c r="F1" s="4" t="inlineStr">
        <is>
          <t>Expected Usage</t>
        </is>
      </c>
    </row>
    <row r="2">
      <c r="A2" s="5" t="inlineStr">
        <is>
          <t>TD-AUTH-001</t>
        </is>
      </c>
      <c r="B2" s="5" t="inlineStr">
        <is>
          <t>ADMIN</t>
        </is>
      </c>
      <c r="C2" s="5" t="inlineStr">
        <is>
          <t>admin@aems.com</t>
        </is>
      </c>
      <c r="D2" s="5" t="inlineStr">
        <is>
          <t>Admin123@</t>
        </is>
      </c>
      <c r="E2" s="5" t="inlineStr">
        <is>
          <t>ACTIVE</t>
        </is>
      </c>
      <c r="F2" s="5" t="inlineStr">
        <is>
          <t>Login as Admin and manage system</t>
        </is>
      </c>
    </row>
    <row r="3">
      <c r="A3" s="5" t="inlineStr">
        <is>
          <t>TD-AUTH-002</t>
        </is>
      </c>
      <c r="B3" s="5" t="inlineStr">
        <is>
          <t>DEPARTMENT</t>
        </is>
      </c>
      <c r="C3" s="5" t="inlineStr">
        <is>
          <t>department@aems.com</t>
        </is>
      </c>
      <c r="D3" s="5" t="inlineStr">
        <is>
          <t>Dept123@</t>
        </is>
      </c>
      <c r="E3" s="5" t="inlineStr">
        <is>
          <t>ACTIVE</t>
        </is>
      </c>
      <c r="F3" s="5" t="inlineStr">
        <is>
          <t>Create proposals, manage quiz, view department dashboard</t>
        </is>
      </c>
    </row>
    <row r="4">
      <c r="A4" s="5" t="inlineStr">
        <is>
          <t>TD-AUTH-003</t>
        </is>
      </c>
      <c r="B4" s="5" t="inlineStr">
        <is>
          <t>COMMITTEE</t>
        </is>
      </c>
      <c r="C4" s="5" t="inlineStr">
        <is>
          <t>committee@aems.com</t>
        </is>
      </c>
      <c r="D4" s="5" t="inlineStr">
        <is>
          <t>Com123@</t>
        </is>
      </c>
      <c r="E4" s="5" t="inlineStr">
        <is>
          <t>ACTIVE</t>
        </is>
      </c>
      <c r="F4" s="5" t="inlineStr">
        <is>
          <t>Approve/reject/request revision for proposals</t>
        </is>
      </c>
    </row>
    <row r="5">
      <c r="A5" s="5" t="inlineStr">
        <is>
          <t>TD-AUTH-004</t>
        </is>
      </c>
      <c r="B5" s="5" t="inlineStr">
        <is>
          <t>STUDENT</t>
        </is>
      </c>
      <c r="C5" s="5" t="inlineStr">
        <is>
          <t>student1@fpt.edu.vn</t>
        </is>
      </c>
      <c r="D5" s="5" t="inlineStr">
        <is>
          <t>Stu123@</t>
        </is>
      </c>
      <c r="E5" s="5" t="inlineStr">
        <is>
          <t>ACTIVE</t>
        </is>
      </c>
      <c r="F5" s="5" t="inlineStr">
        <is>
          <t>Browse events, register, check-in, checkout</t>
        </is>
      </c>
    </row>
    <row r="6">
      <c r="A6" s="5" t="inlineStr">
        <is>
          <t>TD-AUTH-005</t>
        </is>
      </c>
      <c r="B6" s="5" t="inlineStr">
        <is>
          <t>STUDENT</t>
        </is>
      </c>
      <c r="C6" s="5" t="inlineStr">
        <is>
          <t>student2@fpt.edu.vn</t>
        </is>
      </c>
      <c r="D6" s="5" t="inlineStr">
        <is>
          <t>Stu123@</t>
        </is>
      </c>
      <c r="E6" s="5" t="inlineStr">
        <is>
          <t>DISABLED</t>
        </is>
      </c>
      <c r="F6" s="5" t="inlineStr">
        <is>
          <t>Verify disabled account cannot login</t>
        </is>
      </c>
    </row>
    <row r="7">
      <c r="A7" s="5" t="inlineStr">
        <is>
          <t>TD-AUTH-006</t>
        </is>
      </c>
      <c r="B7" s="5" t="inlineStr">
        <is>
          <t>STUDENT</t>
        </is>
      </c>
      <c r="C7" s="5" t="inlineStr">
        <is>
          <t>student1@fpt.edu.vn</t>
        </is>
      </c>
      <c r="D7" s="5" t="inlineStr">
        <is>
          <t>wrong123</t>
        </is>
      </c>
      <c r="E7" s="5" t="inlineStr">
        <is>
          <t>ACTIVE</t>
        </is>
      </c>
      <c r="F7" s="5" t="inlineStr">
        <is>
          <t>Invalid password test</t>
        </is>
      </c>
    </row>
    <row r="8">
      <c r="A8" s="5" t="inlineStr">
        <is>
          <t>TD-AUTH-007</t>
        </is>
      </c>
      <c r="B8" s="5" t="inlineStr">
        <is>
          <t>UNKNOWN</t>
        </is>
      </c>
      <c r="C8" s="5" t="inlineStr">
        <is>
          <t>unknown@fpt.edu.vn</t>
        </is>
      </c>
      <c r="D8" s="5" t="inlineStr">
        <is>
          <t>Stu123@</t>
        </is>
      </c>
      <c r="E8" s="5" t="inlineStr">
        <is>
          <t>NOT_EXIST</t>
        </is>
      </c>
      <c r="F8" s="5" t="inlineStr">
        <is>
          <t>Non-existing account test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0" customWidth="1" min="4" max="4"/>
    <col width="28" customWidth="1" min="5" max="5"/>
    <col width="12" customWidth="1" min="6" max="6"/>
    <col width="14" customWidth="1" min="7" max="7"/>
    <col width="14" customWidth="1" min="8" max="8"/>
    <col width="36" customWidth="1" min="9" max="9"/>
  </cols>
  <sheetData>
    <row r="1">
      <c r="A1" s="4" t="inlineStr">
        <is>
          <t>Data ID</t>
        </is>
      </c>
      <c r="B1" s="4" t="inlineStr">
        <is>
          <t>Student Code</t>
        </is>
      </c>
      <c r="C1" s="4" t="inlineStr">
        <is>
          <t>Full Name</t>
        </is>
      </c>
      <c r="D1" s="4" t="inlineStr">
        <is>
          <t>Email</t>
        </is>
      </c>
      <c r="E1" s="4" t="inlineStr">
        <is>
          <t>Major</t>
        </is>
      </c>
      <c r="F1" s="4" t="inlineStr">
        <is>
          <t>Semester</t>
        </is>
      </c>
      <c r="G1" s="4" t="inlineStr">
        <is>
          <t>Total Points</t>
        </is>
      </c>
      <c r="H1" s="4" t="inlineStr">
        <is>
          <t>No-show Count</t>
        </is>
      </c>
      <c r="I1" s="4" t="inlineStr">
        <is>
          <t>Expected Priority Type</t>
        </is>
      </c>
    </row>
    <row r="2">
      <c r="A2" s="5" t="inlineStr">
        <is>
          <t>TD-STU-001</t>
        </is>
      </c>
      <c r="B2" s="5" t="inlineStr">
        <is>
          <t>DE190533</t>
        </is>
      </c>
      <c r="C2" s="5" t="inlineStr">
        <is>
          <t>Ho Van Thong Dat</t>
        </is>
      </c>
      <c r="D2" s="5" t="inlineStr">
        <is>
          <t>student1@fpt.edu.vn</t>
        </is>
      </c>
      <c r="E2" s="5" t="inlineStr">
        <is>
          <t>Software Engineering</t>
        </is>
      </c>
      <c r="F2" s="5" t="n">
        <v>9</v>
      </c>
      <c r="G2" s="5" t="n">
        <v>95</v>
      </c>
      <c r="H2" s="5" t="n">
        <v>0</v>
      </c>
      <c r="I2" s="5" t="inlineStr">
        <is>
          <t>Very high priority</t>
        </is>
      </c>
    </row>
    <row r="3">
      <c r="A3" s="5" t="inlineStr">
        <is>
          <t>TD-STU-002</t>
        </is>
      </c>
      <c r="B3" s="5" t="inlineStr">
        <is>
          <t>DE190534</t>
        </is>
      </c>
      <c r="C3" s="5" t="inlineStr">
        <is>
          <t>Nguyen Van A</t>
        </is>
      </c>
      <c r="D3" s="5" t="inlineStr">
        <is>
          <t>student2@fpt.edu.vn</t>
        </is>
      </c>
      <c r="E3" s="5" t="inlineStr">
        <is>
          <t>Software Engineering</t>
        </is>
      </c>
      <c r="F3" s="5" t="n">
        <v>8</v>
      </c>
      <c r="G3" s="5" t="n">
        <v>80</v>
      </c>
      <c r="H3" s="5" t="n">
        <v>1</v>
      </c>
      <c r="I3" s="5" t="inlineStr">
        <is>
          <t>High priority</t>
        </is>
      </c>
    </row>
    <row r="4">
      <c r="A4" s="5" t="inlineStr">
        <is>
          <t>TD-STU-003</t>
        </is>
      </c>
      <c r="B4" s="5" t="inlineStr">
        <is>
          <t>DE190535</t>
        </is>
      </c>
      <c r="C4" s="5" t="inlineStr">
        <is>
          <t>Tran Thi B</t>
        </is>
      </c>
      <c r="D4" s="5" t="inlineStr">
        <is>
          <t>student3@fpt.edu.vn</t>
        </is>
      </c>
      <c r="E4" s="5" t="inlineStr">
        <is>
          <t>Artificial Intelligence</t>
        </is>
      </c>
      <c r="F4" s="5" t="n">
        <v>7</v>
      </c>
      <c r="G4" s="5" t="n">
        <v>75</v>
      </c>
      <c r="H4" s="5" t="n">
        <v>0</v>
      </c>
      <c r="I4" s="5" t="inlineStr">
        <is>
          <t>Related/high priority</t>
        </is>
      </c>
    </row>
    <row r="5">
      <c r="A5" s="5" t="inlineStr">
        <is>
          <t>TD-STU-004</t>
        </is>
      </c>
      <c r="B5" s="5" t="inlineStr">
        <is>
          <t>DE190536</t>
        </is>
      </c>
      <c r="C5" s="5" t="inlineStr">
        <is>
          <t>Le Van C</t>
        </is>
      </c>
      <c r="D5" s="5" t="inlineStr">
        <is>
          <t>student4@fpt.edu.vn</t>
        </is>
      </c>
      <c r="E5" s="5" t="inlineStr">
        <is>
          <t>Business Administration</t>
        </is>
      </c>
      <c r="F5" s="5" t="n">
        <v>8</v>
      </c>
      <c r="G5" s="5" t="n">
        <v>90</v>
      </c>
      <c r="H5" s="5" t="n">
        <v>2</v>
      </c>
      <c r="I5" s="5" t="inlineStr">
        <is>
          <t>High semester but different major</t>
        </is>
      </c>
    </row>
    <row r="6">
      <c r="A6" s="5" t="inlineStr">
        <is>
          <t>TD-STU-005</t>
        </is>
      </c>
      <c r="B6" s="5" t="inlineStr">
        <is>
          <t>DE190537</t>
        </is>
      </c>
      <c r="C6" s="5" t="inlineStr">
        <is>
          <t>Pham Thi D</t>
        </is>
      </c>
      <c r="D6" s="5" t="inlineStr">
        <is>
          <t>student5@fpt.edu.vn</t>
        </is>
      </c>
      <c r="E6" s="5" t="inlineStr">
        <is>
          <t>Software Engineering</t>
        </is>
      </c>
      <c r="F6" s="5" t="n">
        <v>3</v>
      </c>
      <c r="G6" s="5" t="n">
        <v>40</v>
      </c>
      <c r="H6" s="5" t="n">
        <v>0</v>
      </c>
      <c r="I6" s="5" t="inlineStr">
        <is>
          <t>Low semester/low points</t>
        </is>
      </c>
    </row>
    <row r="7">
      <c r="A7" s="5" t="inlineStr">
        <is>
          <t>TD-STU-006</t>
        </is>
      </c>
      <c r="B7" s="5" t="inlineStr">
        <is>
          <t>DE190538</t>
        </is>
      </c>
      <c r="C7" s="5" t="inlineStr">
        <is>
          <t>Vo Van E</t>
        </is>
      </c>
      <c r="D7" s="5" t="inlineStr">
        <is>
          <t>student6@fpt.edu.vn</t>
        </is>
      </c>
      <c r="E7" s="5" t="inlineStr">
        <is>
          <t>Artificial Intelligence</t>
        </is>
      </c>
      <c r="F7" s="5" t="n">
        <v>1</v>
      </c>
      <c r="G7" s="5" t="n">
        <v>20</v>
      </c>
      <c r="H7" s="5" t="n">
        <v>3</v>
      </c>
      <c r="I7" s="5" t="inlineStr">
        <is>
          <t>Low priority / no-show risk</t>
        </is>
      </c>
    </row>
    <row r="8">
      <c r="A8" s="5" t="inlineStr">
        <is>
          <t>TD-STU-007</t>
        </is>
      </c>
      <c r="B8" s="5" t="inlineStr">
        <is>
          <t>DE190539</t>
        </is>
      </c>
      <c r="C8" s="5" t="inlineStr">
        <is>
          <t>Do Thi F</t>
        </is>
      </c>
      <c r="D8" s="5" t="inlineStr">
        <is>
          <t>student7@fpt.edu.vn</t>
        </is>
      </c>
      <c r="E8" s="5" t="inlineStr">
        <is>
          <t>Information Technology</t>
        </is>
      </c>
      <c r="F8" s="5" t="n">
        <v>6</v>
      </c>
      <c r="G8" s="5" t="n">
        <v>150</v>
      </c>
      <c r="H8" s="5" t="n">
        <v>0</v>
      </c>
      <c r="I8" s="5" t="inlineStr">
        <is>
          <t>Point normalization test</t>
        </is>
      </c>
    </row>
    <row r="9">
      <c r="A9" s="5" t="inlineStr">
        <is>
          <t>TD-STU-008</t>
        </is>
      </c>
      <c r="B9" s="5" t="inlineStr">
        <is>
          <t>DE190540</t>
        </is>
      </c>
      <c r="C9" s="5" t="inlineStr">
        <is>
          <t>Bui Van G</t>
        </is>
      </c>
      <c r="D9" s="5" t="inlineStr">
        <is>
          <t>student8@fpt.edu.vn</t>
        </is>
      </c>
      <c r="E9" s="5" t="inlineStr">
        <is>
          <t>Business Administration</t>
        </is>
      </c>
      <c r="F9" s="5" t="n">
        <v>5</v>
      </c>
      <c r="G9" s="5" t="n">
        <v>60</v>
      </c>
      <c r="H9" s="5" t="n">
        <v>0</v>
      </c>
      <c r="I9" s="5" t="inlineStr">
        <is>
          <t>Unregistered attendance test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32" customWidth="1" min="5" max="5"/>
    <col width="14" customWidth="1" min="6" max="6"/>
    <col width="12" customWidth="1" min="7" max="7"/>
    <col width="12" customWidth="1" min="8" max="8"/>
    <col width="14" customWidth="1" min="9" max="9"/>
    <col width="20" customWidth="1" min="10" max="10"/>
    <col width="18" customWidth="1" min="11" max="11"/>
    <col width="44" customWidth="1" min="12" max="12"/>
  </cols>
  <sheetData>
    <row r="1">
      <c r="A1" s="4" t="inlineStr">
        <is>
          <t>Data ID</t>
        </is>
      </c>
      <c r="B1" s="4" t="inlineStr">
        <is>
          <t>Department ID</t>
        </is>
      </c>
      <c r="C1" s="4" t="inlineStr">
        <is>
          <t>Department Name</t>
        </is>
      </c>
      <c r="D1" s="4" t="inlineStr">
        <is>
          <t>Event ID</t>
        </is>
      </c>
      <c r="E1" s="4" t="inlineStr">
        <is>
          <t>Event Title</t>
        </is>
      </c>
      <c r="F1" s="4" t="inlineStr">
        <is>
          <t>Event Type</t>
        </is>
      </c>
      <c r="G1" s="4" t="inlineStr">
        <is>
          <t>Capacity</t>
        </is>
      </c>
      <c r="H1" s="4" t="inlineStr">
        <is>
          <t>Registered</t>
        </is>
      </c>
      <c r="I1" s="4" t="inlineStr">
        <is>
          <t>Status</t>
        </is>
      </c>
      <c r="J1" s="4" t="inlineStr">
        <is>
          <t>Start Time</t>
        </is>
      </c>
      <c r="K1" s="4" t="inlineStr">
        <is>
          <t>Location</t>
        </is>
      </c>
      <c r="L1" s="4" t="inlineStr">
        <is>
          <t>Purpose</t>
        </is>
      </c>
    </row>
    <row r="2">
      <c r="A2" s="5" t="inlineStr">
        <is>
          <t>TD-EVT-001</t>
        </is>
      </c>
      <c r="B2" s="5" t="inlineStr">
        <is>
          <t>DEP-SE</t>
        </is>
      </c>
      <c r="C2" s="5" t="inlineStr">
        <is>
          <t>Software Engineering</t>
        </is>
      </c>
      <c r="D2" s="5" t="inlineStr">
        <is>
          <t>EV001</t>
        </is>
      </c>
      <c r="E2" s="5" t="inlineStr">
        <is>
          <t>AI Workshop 2026</t>
        </is>
      </c>
      <c r="F2" s="5" t="inlineStr">
        <is>
          <t>Workshop</t>
        </is>
      </c>
      <c r="G2" s="5" t="n">
        <v>50</v>
      </c>
      <c r="H2" s="5" t="n">
        <v>30</v>
      </c>
      <c r="I2" s="5" t="inlineStr">
        <is>
          <t>ACTIVE</t>
        </is>
      </c>
      <c r="J2" s="5" t="inlineStr">
        <is>
          <t>2026-06-15 09:00</t>
        </is>
      </c>
      <c r="K2" s="5" t="inlineStr">
        <is>
          <t>Room 301</t>
        </is>
      </c>
      <c r="L2" s="5" t="inlineStr">
        <is>
          <t>Main event for registration/RBL/attendance</t>
        </is>
      </c>
    </row>
    <row r="3">
      <c r="A3" s="5" t="inlineStr">
        <is>
          <t>TD-EVT-002</t>
        </is>
      </c>
      <c r="B3" s="5" t="inlineStr">
        <is>
          <t>DEP-IT</t>
        </is>
      </c>
      <c r="C3" s="5" t="inlineStr">
        <is>
          <t>Information Technology</t>
        </is>
      </c>
      <c r="D3" s="5" t="inlineStr">
        <is>
          <t>EV002</t>
        </is>
      </c>
      <c r="E3" s="5" t="inlineStr">
        <is>
          <t>Cloud Computing Seminar</t>
        </is>
      </c>
      <c r="F3" s="5" t="inlineStr">
        <is>
          <t>Seminar</t>
        </is>
      </c>
      <c r="G3" s="5" t="n">
        <v>100</v>
      </c>
      <c r="H3" s="5" t="n">
        <v>20</v>
      </c>
      <c r="I3" s="5" t="inlineStr">
        <is>
          <t>ACTIVE</t>
        </is>
      </c>
      <c r="J3" s="5" t="inlineStr">
        <is>
          <t>2026-06-20 14:00</t>
        </is>
      </c>
      <c r="K3" s="5" t="inlineStr">
        <is>
          <t>Hall A</t>
        </is>
      </c>
      <c r="L3" s="5" t="inlineStr">
        <is>
          <t>Event list and search testing</t>
        </is>
      </c>
    </row>
    <row r="4">
      <c r="A4" s="5" t="inlineStr">
        <is>
          <t>TD-EVT-003</t>
        </is>
      </c>
      <c r="B4" s="5" t="inlineStr">
        <is>
          <t>DEP-BA</t>
        </is>
      </c>
      <c r="C4" s="5" t="inlineStr">
        <is>
          <t>Business Administration</t>
        </is>
      </c>
      <c r="D4" s="5" t="inlineStr">
        <is>
          <t>EV003</t>
        </is>
      </c>
      <c r="E4" s="5" t="inlineStr">
        <is>
          <t>Startup Innovation Talk</t>
        </is>
      </c>
      <c r="F4" s="5" t="inlineStr">
        <is>
          <t>Talk</t>
        </is>
      </c>
      <c r="G4" s="5" t="n">
        <v>80</v>
      </c>
      <c r="H4" s="5" t="n">
        <v>0</v>
      </c>
      <c r="I4" s="5" t="inlineStr">
        <is>
          <t>CANCELLED</t>
        </is>
      </c>
      <c r="J4" s="5" t="inlineStr">
        <is>
          <t>2026-06-22 09:00</t>
        </is>
      </c>
      <c r="K4" s="5" t="inlineStr">
        <is>
          <t>Room 205</t>
        </is>
      </c>
      <c r="L4" s="5" t="inlineStr">
        <is>
          <t>Canceled event testing</t>
        </is>
      </c>
    </row>
    <row r="5">
      <c r="A5" s="5" t="inlineStr">
        <is>
          <t>TD-EVT-004</t>
        </is>
      </c>
      <c r="B5" s="5" t="inlineStr">
        <is>
          <t>DEP-SE</t>
        </is>
      </c>
      <c r="C5" s="5" t="inlineStr">
        <is>
          <t>Software Engineering</t>
        </is>
      </c>
      <c r="D5" s="5" t="inlineStr">
        <is>
          <t>EV004</t>
        </is>
      </c>
      <c r="E5" s="5" t="inlineStr">
        <is>
          <t>Software Testing Workshop</t>
        </is>
      </c>
      <c r="F5" s="5" t="inlineStr">
        <is>
          <t>Workshop</t>
        </is>
      </c>
      <c r="G5" s="5" t="n">
        <v>2</v>
      </c>
      <c r="H5" s="5" t="n">
        <v>2</v>
      </c>
      <c r="I5" s="5" t="inlineStr">
        <is>
          <t>ACTIVE</t>
        </is>
      </c>
      <c r="J5" s="5" t="inlineStr">
        <is>
          <t>2026-06-18 10:00</t>
        </is>
      </c>
      <c r="K5" s="5" t="inlineStr">
        <is>
          <t>Room 401</t>
        </is>
      </c>
      <c r="L5" s="5" t="inlineStr">
        <is>
          <t>Full capacity / waitlist testing</t>
        </is>
      </c>
    </row>
    <row r="6">
      <c r="A6" s="5" t="inlineStr">
        <is>
          <t>TD-EVT-005</t>
        </is>
      </c>
      <c r="B6" s="5" t="inlineStr">
        <is>
          <t>DEP-AI</t>
        </is>
      </c>
      <c r="C6" s="5" t="inlineStr">
        <is>
          <t>Artificial Intelligence</t>
        </is>
      </c>
      <c r="D6" s="5" t="inlineStr">
        <is>
          <t>EV005</t>
        </is>
      </c>
      <c r="E6" s="5" t="inlineStr">
        <is>
          <t>Generative AI Talk</t>
        </is>
      </c>
      <c r="F6" s="5" t="inlineStr">
        <is>
          <t>Talk</t>
        </is>
      </c>
      <c r="G6" s="5" t="n">
        <v>60</v>
      </c>
      <c r="H6" s="5" t="n">
        <v>10</v>
      </c>
      <c r="I6" s="5" t="inlineStr">
        <is>
          <t>CLOSED</t>
        </is>
      </c>
      <c r="J6" s="5" t="inlineStr">
        <is>
          <t>2026-05-30 08:00</t>
        </is>
      </c>
      <c r="K6" s="5" t="inlineStr">
        <is>
          <t>Room 501</t>
        </is>
      </c>
      <c r="L6" s="5" t="inlineStr">
        <is>
          <t>Closed event testing</t>
        </is>
      </c>
    </row>
    <row r="7">
      <c r="A7" s="5" t="inlineStr">
        <is>
          <t>TD-EVT-006</t>
        </is>
      </c>
      <c r="B7" s="5" t="inlineStr">
        <is>
          <t>DEP-SE</t>
        </is>
      </c>
      <c r="C7" s="5" t="inlineStr">
        <is>
          <t>Software Engineering</t>
        </is>
      </c>
      <c r="D7" s="5" t="inlineStr">
        <is>
          <t>EV006</t>
        </is>
      </c>
      <c r="E7" s="5" t="inlineStr">
        <is>
          <t>System Architecture Seminar</t>
        </is>
      </c>
      <c r="F7" s="5" t="inlineStr">
        <is>
          <t>Seminar</t>
        </is>
      </c>
      <c r="G7" s="5" t="n">
        <v>70</v>
      </c>
      <c r="H7" s="5" t="n">
        <v>35</v>
      </c>
      <c r="I7" s="5" t="inlineStr">
        <is>
          <t>DRAFT</t>
        </is>
      </c>
      <c r="J7" s="5" t="inlineStr">
        <is>
          <t>2026-07-01 13:30</t>
        </is>
      </c>
      <c r="K7" s="5" t="inlineStr">
        <is>
          <t>Room 302</t>
        </is>
      </c>
      <c r="L7" s="5" t="inlineStr">
        <is>
          <t>Draft/unpublished testing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8" customWidth="1" min="4" max="4"/>
    <col width="20" customWidth="1" min="5" max="5"/>
    <col width="28" customWidth="1" min="6" max="6"/>
    <col width="28" customWidth="1" min="7" max="7"/>
    <col width="34" customWidth="1" min="8" max="8"/>
  </cols>
  <sheetData>
    <row r="1">
      <c r="A1" s="4" t="inlineStr">
        <is>
          <t>Data ID</t>
        </is>
      </c>
      <c r="B1" s="4" t="inlineStr">
        <is>
          <t>Proposal ID</t>
        </is>
      </c>
      <c r="C1" s="4" t="inlineStr">
        <is>
          <t>Title</t>
        </is>
      </c>
      <c r="D1" s="4" t="inlineStr">
        <is>
          <t>Department</t>
        </is>
      </c>
      <c r="E1" s="4" t="inlineStr">
        <is>
          <t>Status</t>
        </is>
      </c>
      <c r="F1" s="4" t="inlineStr">
        <is>
          <t>Submitted By</t>
        </is>
      </c>
      <c r="G1" s="4" t="inlineStr">
        <is>
          <t>Committee Action</t>
        </is>
      </c>
      <c r="H1" s="4" t="inlineStr">
        <is>
          <t>Expected Result</t>
        </is>
      </c>
    </row>
    <row r="2">
      <c r="A2" s="5" t="inlineStr">
        <is>
          <t>TD-PROP-001</t>
        </is>
      </c>
      <c r="B2" s="5" t="inlineStr">
        <is>
          <t>P001</t>
        </is>
      </c>
      <c r="C2" s="5" t="inlineStr">
        <is>
          <t>AI Workshop</t>
        </is>
      </c>
      <c r="D2" s="5" t="inlineStr">
        <is>
          <t>Software Engineering</t>
        </is>
      </c>
      <c r="E2" s="5" t="inlineStr">
        <is>
          <t>PENDING</t>
        </is>
      </c>
      <c r="F2" s="5" t="inlineStr">
        <is>
          <t>department@aems.com</t>
        </is>
      </c>
      <c r="G2" s="5" t="inlineStr">
        <is>
          <t>Submit valid proposal</t>
        </is>
      </c>
      <c r="H2" s="5" t="inlineStr">
        <is>
          <t>Saved as PENDING</t>
        </is>
      </c>
    </row>
    <row r="3">
      <c r="A3" s="5" t="inlineStr">
        <is>
          <t>TD-PROP-002</t>
        </is>
      </c>
      <c r="B3" s="5" t="inlineStr">
        <is>
          <t>P002</t>
        </is>
      </c>
      <c r="C3" s="5" t="inlineStr"/>
      <c r="D3" s="5" t="inlineStr">
        <is>
          <t>Software Engineering</t>
        </is>
      </c>
      <c r="E3" s="5" t="inlineStr">
        <is>
          <t>DRAFT</t>
        </is>
      </c>
      <c r="F3" s="5" t="inlineStr">
        <is>
          <t>department@aems.com</t>
        </is>
      </c>
      <c r="G3" s="5" t="inlineStr">
        <is>
          <t>Submit with empty title</t>
        </is>
      </c>
      <c r="H3" s="5" t="inlineStr">
        <is>
          <t>Validation error</t>
        </is>
      </c>
    </row>
    <row r="4">
      <c r="A4" s="5" t="inlineStr">
        <is>
          <t>TD-PROP-003</t>
        </is>
      </c>
      <c r="B4" s="5" t="inlineStr">
        <is>
          <t>P003</t>
        </is>
      </c>
      <c r="C4" s="5" t="inlineStr">
        <is>
          <t>Old Event</t>
        </is>
      </c>
      <c r="D4" s="5" t="inlineStr">
        <is>
          <t>Software Engineering</t>
        </is>
      </c>
      <c r="E4" s="5" t="inlineStr">
        <is>
          <t>DRAFT</t>
        </is>
      </c>
      <c r="F4" s="5" t="inlineStr">
        <is>
          <t>department@aems.com</t>
        </is>
      </c>
      <c r="G4" s="5" t="inlineStr">
        <is>
          <t>Submit with past date</t>
        </is>
      </c>
      <c r="H4" s="5" t="inlineStr">
        <is>
          <t>Validation error</t>
        </is>
      </c>
    </row>
    <row r="5">
      <c r="A5" s="5" t="inlineStr">
        <is>
          <t>TD-PROP-004</t>
        </is>
      </c>
      <c r="B5" s="5" t="inlineStr">
        <is>
          <t>P004</t>
        </is>
      </c>
      <c r="C5" s="5" t="inlineStr">
        <is>
          <t>Invalid Capacity Event</t>
        </is>
      </c>
      <c r="D5" s="5" t="inlineStr">
        <is>
          <t>Software Engineering</t>
        </is>
      </c>
      <c r="E5" s="5" t="inlineStr">
        <is>
          <t>DRAFT</t>
        </is>
      </c>
      <c r="F5" s="5" t="inlineStr">
        <is>
          <t>department@aems.com</t>
        </is>
      </c>
      <c r="G5" s="5" t="inlineStr">
        <is>
          <t>Submit capacity -10</t>
        </is>
      </c>
      <c r="H5" s="5" t="inlineStr">
        <is>
          <t>Validation error</t>
        </is>
      </c>
    </row>
    <row r="6">
      <c r="A6" s="5" t="inlineStr">
        <is>
          <t>TD-PROP-005</t>
        </is>
      </c>
      <c r="B6" s="5" t="inlineStr">
        <is>
          <t>P005</t>
        </is>
      </c>
      <c r="C6" s="5" t="inlineStr">
        <is>
          <t>Cloud Seminar</t>
        </is>
      </c>
      <c r="D6" s="5" t="inlineStr">
        <is>
          <t>Information Technology</t>
        </is>
      </c>
      <c r="E6" s="5" t="inlineStr">
        <is>
          <t>REVISION_REQUIRED</t>
        </is>
      </c>
      <c r="F6" s="5" t="inlineStr">
        <is>
          <t>department@aems.com</t>
        </is>
      </c>
      <c r="G6" s="5" t="inlineStr">
        <is>
          <t>Revise and resubmit</t>
        </is>
      </c>
      <c r="H6" s="5" t="inlineStr">
        <is>
          <t>Status returns to PENDING</t>
        </is>
      </c>
    </row>
    <row r="7">
      <c r="A7" s="5" t="inlineStr">
        <is>
          <t>TD-PROP-006</t>
        </is>
      </c>
      <c r="B7" s="5" t="inlineStr">
        <is>
          <t>P006</t>
        </is>
      </c>
      <c r="C7" s="5" t="inlineStr">
        <is>
          <t>Architecture Seminar</t>
        </is>
      </c>
      <c r="D7" s="5" t="inlineStr">
        <is>
          <t>Software Engineering</t>
        </is>
      </c>
      <c r="E7" s="5" t="inlineStr">
        <is>
          <t>PENDING</t>
        </is>
      </c>
      <c r="F7" s="5" t="inlineStr">
        <is>
          <t>department@aems.com</t>
        </is>
      </c>
      <c r="G7" s="5" t="inlineStr">
        <is>
          <t>Edit pending proposal</t>
        </is>
      </c>
      <c r="H7" s="5" t="inlineStr">
        <is>
          <t>Update success</t>
        </is>
      </c>
    </row>
    <row r="8">
      <c r="A8" s="5" t="inlineStr">
        <is>
          <t>TD-PROP-007</t>
        </is>
      </c>
      <c r="B8" s="5" t="inlineStr">
        <is>
          <t>P007</t>
        </is>
      </c>
      <c r="C8" s="5" t="inlineStr">
        <is>
          <t>Approved AI Talk</t>
        </is>
      </c>
      <c r="D8" s="5" t="inlineStr">
        <is>
          <t>Artificial Intelligence</t>
        </is>
      </c>
      <c r="E8" s="5" t="inlineStr">
        <is>
          <t>APPROVED</t>
        </is>
      </c>
      <c r="F8" s="5" t="inlineStr">
        <is>
          <t>department@aems.com</t>
        </is>
      </c>
      <c r="G8" s="5" t="inlineStr">
        <is>
          <t>Try edit after approved</t>
        </is>
      </c>
      <c r="H8" s="5" t="inlineStr">
        <is>
          <t>Edit blocked/read-only</t>
        </is>
      </c>
    </row>
    <row r="9">
      <c r="A9" s="5" t="inlineStr">
        <is>
          <t>TD-PROP-008</t>
        </is>
      </c>
      <c r="B9" s="5" t="inlineStr">
        <is>
          <t>P008</t>
        </is>
      </c>
      <c r="C9" s="5" t="inlineStr">
        <is>
          <t>Draft Workshop</t>
        </is>
      </c>
      <c r="D9" s="5" t="inlineStr">
        <is>
          <t>Software Engineering</t>
        </is>
      </c>
      <c r="E9" s="5" t="inlineStr">
        <is>
          <t>DRAFT</t>
        </is>
      </c>
      <c r="F9" s="5" t="inlineStr">
        <is>
          <t>department@aems.com</t>
        </is>
      </c>
      <c r="G9" s="5" t="inlineStr">
        <is>
          <t>Delete draft</t>
        </is>
      </c>
      <c r="H9" s="5" t="inlineStr">
        <is>
          <t>Deleted/marked deleted</t>
        </is>
      </c>
    </row>
    <row r="10">
      <c r="A10" s="5" t="inlineStr">
        <is>
          <t>TD-APP-001</t>
        </is>
      </c>
      <c r="B10" s="5" t="inlineStr">
        <is>
          <t>P001</t>
        </is>
      </c>
      <c r="C10" s="5" t="inlineStr">
        <is>
          <t>AI Workshop</t>
        </is>
      </c>
      <c r="D10" s="5" t="inlineStr">
        <is>
          <t>Software Engineering</t>
        </is>
      </c>
      <c r="E10" s="5" t="inlineStr">
        <is>
          <t>PENDING</t>
        </is>
      </c>
      <c r="F10" s="5" t="inlineStr">
        <is>
          <t>department@aems.com</t>
        </is>
      </c>
      <c r="G10" s="5" t="inlineStr">
        <is>
          <t>Approve</t>
        </is>
      </c>
      <c r="H10" s="5" t="inlineStr">
        <is>
          <t>Status APPROVED</t>
        </is>
      </c>
    </row>
    <row r="11">
      <c r="A11" s="5" t="inlineStr">
        <is>
          <t>TD-APP-002</t>
        </is>
      </c>
      <c r="B11" s="5" t="inlineStr">
        <is>
          <t>P009</t>
        </is>
      </c>
      <c r="C11" s="5" t="inlineStr">
        <is>
          <t>Low Quality Proposal</t>
        </is>
      </c>
      <c r="D11" s="5" t="inlineStr">
        <is>
          <t>Business Administration</t>
        </is>
      </c>
      <c r="E11" s="5" t="inlineStr">
        <is>
          <t>PENDING</t>
        </is>
      </c>
      <c r="F11" s="5" t="inlineStr">
        <is>
          <t>department@aems.com</t>
        </is>
      </c>
      <c r="G11" s="5" t="inlineStr">
        <is>
          <t>Reject with reason</t>
        </is>
      </c>
      <c r="H11" s="5" t="inlineStr">
        <is>
          <t>Status REJECTED</t>
        </is>
      </c>
    </row>
    <row r="12">
      <c r="A12" s="5" t="inlineStr">
        <is>
          <t>TD-APP-003</t>
        </is>
      </c>
      <c r="B12" s="5" t="inlineStr">
        <is>
          <t>P010</t>
        </is>
      </c>
      <c r="C12" s="5" t="inlineStr">
        <is>
          <t>Missing Schedule Proposal</t>
        </is>
      </c>
      <c r="D12" s="5" t="inlineStr">
        <is>
          <t>Software Engineering</t>
        </is>
      </c>
      <c r="E12" s="5" t="inlineStr">
        <is>
          <t>PENDING</t>
        </is>
      </c>
      <c r="F12" s="5" t="inlineStr">
        <is>
          <t>department@aems.com</t>
        </is>
      </c>
      <c r="G12" s="5" t="inlineStr">
        <is>
          <t>Request revision</t>
        </is>
      </c>
      <c r="H12" s="5" t="inlineStr">
        <is>
          <t>Status REVISION_REQUIRED</t>
        </is>
      </c>
    </row>
    <row r="13">
      <c r="A13" s="5" t="inlineStr">
        <is>
          <t>TD-APP-004</t>
        </is>
      </c>
      <c r="B13" s="5" t="inlineStr">
        <is>
          <t>P010</t>
        </is>
      </c>
      <c r="C13" s="5" t="inlineStr">
        <is>
          <t>Missing Schedule Proposal</t>
        </is>
      </c>
      <c r="D13" s="5" t="inlineStr">
        <is>
          <t>Software Engineering</t>
        </is>
      </c>
      <c r="E13" s="5" t="inlineStr">
        <is>
          <t>REVISION_REQUIRED</t>
        </is>
      </c>
      <c r="F13" s="5" t="inlineStr">
        <is>
          <t>department@aems.com</t>
        </is>
      </c>
      <c r="G13" s="5" t="inlineStr">
        <is>
          <t>Resubmit after edit</t>
        </is>
      </c>
      <c r="H13" s="5" t="inlineStr">
        <is>
          <t>Status PENDING</t>
        </is>
      </c>
    </row>
    <row r="14">
      <c r="A14" s="5" t="inlineStr">
        <is>
          <t>TD-APP-005</t>
        </is>
      </c>
      <c r="B14" s="5" t="inlineStr">
        <is>
          <t>P007</t>
        </is>
      </c>
      <c r="C14" s="5" t="inlineStr">
        <is>
          <t>Approved AI Talk</t>
        </is>
      </c>
      <c r="D14" s="5" t="inlineStr">
        <is>
          <t>Artificial Intelligence</t>
        </is>
      </c>
      <c r="E14" s="5" t="inlineStr">
        <is>
          <t>APPROVED</t>
        </is>
      </c>
      <c r="F14" s="5" t="inlineStr">
        <is>
          <t>department@aems.com</t>
        </is>
      </c>
      <c r="G14" s="5" t="inlineStr">
        <is>
          <t>Approve again</t>
        </is>
      </c>
      <c r="H14" s="5" t="inlineStr">
        <is>
          <t>Action blocked</t>
        </is>
      </c>
    </row>
    <row r="15">
      <c r="A15" s="5" t="inlineStr">
        <is>
          <t>TD-APP-006</t>
        </is>
      </c>
      <c r="B15" s="5" t="inlineStr">
        <is>
          <t>P001</t>
        </is>
      </c>
      <c r="C15" s="5" t="inlineStr">
        <is>
          <t>AI Workshop</t>
        </is>
      </c>
      <c r="D15" s="5" t="inlineStr">
        <is>
          <t>Software Engineering</t>
        </is>
      </c>
      <c r="E15" s="5" t="inlineStr">
        <is>
          <t>PENDING</t>
        </is>
      </c>
      <c r="F15" s="5" t="inlineStr">
        <is>
          <t>student1@fpt.edu.vn</t>
        </is>
      </c>
      <c r="G15" s="5" t="inlineStr">
        <is>
          <t>Student tries approve URL</t>
        </is>
      </c>
      <c r="H15" s="5" t="inlineStr">
        <is>
          <t>Access denied</t>
        </is>
      </c>
    </row>
  </sheetData>
  <autoFilter ref="A1:H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2" customWidth="1" min="5" max="5"/>
    <col width="14" customWidth="1" min="6" max="6"/>
    <col width="22" customWidth="1" min="7" max="7"/>
    <col width="42" customWidth="1" min="8" max="8"/>
  </cols>
  <sheetData>
    <row r="1">
      <c r="A1" s="4" t="inlineStr">
        <is>
          <t>Data ID</t>
        </is>
      </c>
      <c r="B1" s="4" t="inlineStr">
        <is>
          <t>Student Code</t>
        </is>
      </c>
      <c r="C1" s="4" t="inlineStr">
        <is>
          <t>Event ID</t>
        </is>
      </c>
      <c r="D1" s="4" t="inlineStr">
        <is>
          <t>Major Match</t>
        </is>
      </c>
      <c r="E1" s="4" t="inlineStr">
        <is>
          <t>Semester</t>
        </is>
      </c>
      <c r="F1" s="4" t="inlineStr">
        <is>
          <t>Total Points</t>
        </is>
      </c>
      <c r="G1" s="4" t="inlineStr">
        <is>
          <t>Registration Time</t>
        </is>
      </c>
      <c r="H1" s="4" t="inlineStr">
        <is>
          <t>Expected Registration/RBL Result</t>
        </is>
      </c>
    </row>
    <row r="2">
      <c r="A2" s="5" t="inlineStr">
        <is>
          <t>TD-REG-001</t>
        </is>
      </c>
      <c r="B2" s="5" t="inlineStr">
        <is>
          <t>DE190533</t>
        </is>
      </c>
      <c r="C2" s="5" t="inlineStr">
        <is>
          <t>EV001</t>
        </is>
      </c>
      <c r="D2" s="5" t="inlineStr">
        <is>
          <t>Exact</t>
        </is>
      </c>
      <c r="E2" s="5" t="n">
        <v>9</v>
      </c>
      <c r="F2" s="5" t="n">
        <v>95</v>
      </c>
      <c r="G2" s="5" t="inlineStr">
        <is>
          <t>Early</t>
        </is>
      </c>
      <c r="H2" s="5" t="inlineStr">
        <is>
          <t>REGISTERED, high priority</t>
        </is>
      </c>
    </row>
    <row r="3">
      <c r="A3" s="5" t="inlineStr">
        <is>
          <t>TD-REG-002</t>
        </is>
      </c>
      <c r="B3" s="5" t="inlineStr">
        <is>
          <t>DE190533</t>
        </is>
      </c>
      <c r="C3" s="5" t="inlineStr">
        <is>
          <t>EV001</t>
        </is>
      </c>
      <c r="D3" s="5" t="inlineStr">
        <is>
          <t>Exact</t>
        </is>
      </c>
      <c r="E3" s="5" t="n">
        <v>9</v>
      </c>
      <c r="F3" s="5" t="n">
        <v>95</v>
      </c>
      <c r="G3" s="5" t="inlineStr">
        <is>
          <t>Duplicate</t>
        </is>
      </c>
      <c r="H3" s="5" t="inlineStr">
        <is>
          <t>Already registered message</t>
        </is>
      </c>
    </row>
    <row r="4">
      <c r="A4" s="5" t="inlineStr">
        <is>
          <t>TD-REG-003</t>
        </is>
      </c>
      <c r="B4" s="5" t="inlineStr">
        <is>
          <t>DE190534</t>
        </is>
      </c>
      <c r="C4" s="5" t="inlineStr">
        <is>
          <t>EV004</t>
        </is>
      </c>
      <c r="D4" s="5" t="inlineStr">
        <is>
          <t>Exact</t>
        </is>
      </c>
      <c r="E4" s="5" t="n">
        <v>8</v>
      </c>
      <c r="F4" s="5" t="n">
        <v>80</v>
      </c>
      <c r="G4" s="5" t="inlineStr">
        <is>
          <t>Early</t>
        </is>
      </c>
      <c r="H4" s="5" t="inlineStr">
        <is>
          <t>WAITLIST because full event</t>
        </is>
      </c>
    </row>
    <row r="5">
      <c r="A5" s="5" t="inlineStr">
        <is>
          <t>TD-REG-004</t>
        </is>
      </c>
      <c r="B5" s="5" t="inlineStr">
        <is>
          <t>DE190535</t>
        </is>
      </c>
      <c r="C5" s="5" t="inlineStr">
        <is>
          <t>EV005</t>
        </is>
      </c>
      <c r="D5" s="5" t="inlineStr">
        <is>
          <t>Related</t>
        </is>
      </c>
      <c r="E5" s="5" t="n">
        <v>7</v>
      </c>
      <c r="F5" s="5" t="n">
        <v>75</v>
      </c>
      <c r="G5" s="5" t="inlineStr">
        <is>
          <t>Late/Closed</t>
        </is>
      </c>
      <c r="H5" s="5" t="inlineStr">
        <is>
          <t>Registration closed</t>
        </is>
      </c>
    </row>
    <row r="6">
      <c r="A6" s="5" t="inlineStr">
        <is>
          <t>TD-REG-005</t>
        </is>
      </c>
      <c r="B6" s="5" t="inlineStr">
        <is>
          <t>DE190533</t>
        </is>
      </c>
      <c r="C6" s="5" t="inlineStr">
        <is>
          <t>EV001</t>
        </is>
      </c>
      <c r="D6" s="5" t="inlineStr">
        <is>
          <t>Exact</t>
        </is>
      </c>
      <c r="E6" s="5" t="n">
        <v>9</v>
      </c>
      <c r="F6" s="5" t="n">
        <v>95</v>
      </c>
      <c r="G6" s="5" t="inlineStr">
        <is>
          <t>Early</t>
        </is>
      </c>
      <c r="H6" s="5" t="inlineStr">
        <is>
          <t>Cancel success</t>
        </is>
      </c>
    </row>
    <row r="7">
      <c r="A7" s="5" t="inlineStr">
        <is>
          <t>TD-REG-006</t>
        </is>
      </c>
      <c r="B7" s="5" t="inlineStr">
        <is>
          <t>DE190534</t>
        </is>
      </c>
      <c r="C7" s="5" t="inlineStr">
        <is>
          <t>EV004</t>
        </is>
      </c>
      <c r="D7" s="5" t="inlineStr">
        <is>
          <t>Exact</t>
        </is>
      </c>
      <c r="E7" s="5" t="n">
        <v>8</v>
      </c>
      <c r="F7" s="5" t="n">
        <v>80</v>
      </c>
      <c r="G7" s="5" t="inlineStr">
        <is>
          <t>Waitlist first</t>
        </is>
      </c>
      <c r="H7" s="5" t="inlineStr">
        <is>
          <t>Promoted after slot released</t>
        </is>
      </c>
    </row>
    <row r="8">
      <c r="A8" s="5" t="inlineStr">
        <is>
          <t>TD-REG-007</t>
        </is>
      </c>
      <c r="B8" s="5" t="inlineStr">
        <is>
          <t>DE190533</t>
        </is>
      </c>
      <c r="C8" s="5" t="inlineStr">
        <is>
          <t>Multiple</t>
        </is>
      </c>
      <c r="D8" s="5" t="inlineStr">
        <is>
          <t>Exact</t>
        </is>
      </c>
      <c r="E8" s="5" t="n">
        <v>9</v>
      </c>
      <c r="F8" s="5" t="n">
        <v>95</v>
      </c>
      <c r="G8" s="5" t="inlineStr">
        <is>
          <t>History</t>
        </is>
      </c>
      <c r="H8" s="5" t="inlineStr">
        <is>
          <t>Show my registrations</t>
        </is>
      </c>
    </row>
    <row r="9">
      <c r="A9" s="5" t="inlineStr">
        <is>
          <t>TD-REG-008</t>
        </is>
      </c>
      <c r="B9" s="5" t="inlineStr">
        <is>
          <t>ANONYMOUS</t>
        </is>
      </c>
      <c r="C9" s="5" t="inlineStr">
        <is>
          <t>EV001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  <c r="H9" s="5" t="inlineStr">
        <is>
          <t>Redirect to login</t>
        </is>
      </c>
    </row>
    <row r="10">
      <c r="A10" s="5" t="inlineStr">
        <is>
          <t>TD-RBL-001</t>
        </is>
      </c>
      <c r="B10" s="5" t="inlineStr">
        <is>
          <t>DE190533</t>
        </is>
      </c>
      <c r="C10" s="5" t="inlineStr">
        <is>
          <t>EV001</t>
        </is>
      </c>
      <c r="D10" s="5" t="inlineStr">
        <is>
          <t>Exact</t>
        </is>
      </c>
      <c r="E10" s="5" t="n">
        <v>9</v>
      </c>
      <c r="F10" s="5" t="n">
        <v>95</v>
      </c>
      <c r="G10" s="5" t="inlineStr">
        <is>
          <t>Early</t>
        </is>
      </c>
      <c r="H10" s="5" t="inlineStr">
        <is>
          <t>M=100; high total score</t>
        </is>
      </c>
    </row>
    <row r="11">
      <c r="A11" s="5" t="inlineStr">
        <is>
          <t>TD-RBL-002</t>
        </is>
      </c>
      <c r="B11" s="5" t="inlineStr">
        <is>
          <t>DE190535</t>
        </is>
      </c>
      <c r="C11" s="5" t="inlineStr">
        <is>
          <t>EV001</t>
        </is>
      </c>
      <c r="D11" s="5" t="inlineStr">
        <is>
          <t>Related</t>
        </is>
      </c>
      <c r="E11" s="5" t="n">
        <v>7</v>
      </c>
      <c r="F11" s="5" t="n">
        <v>75</v>
      </c>
      <c r="G11" s="5" t="inlineStr">
        <is>
          <t>Early</t>
        </is>
      </c>
      <c r="H11" s="5" t="inlineStr">
        <is>
          <t>M=related score</t>
        </is>
      </c>
    </row>
    <row r="12">
      <c r="A12" s="5" t="inlineStr">
        <is>
          <t>TD-RBL-003</t>
        </is>
      </c>
      <c r="B12" s="5" t="inlineStr">
        <is>
          <t>DE190536</t>
        </is>
      </c>
      <c r="C12" s="5" t="inlineStr">
        <is>
          <t>EV001</t>
        </is>
      </c>
      <c r="D12" s="5" t="inlineStr">
        <is>
          <t>Different</t>
        </is>
      </c>
      <c r="E12" s="5" t="n">
        <v>8</v>
      </c>
      <c r="F12" s="5" t="n">
        <v>90</v>
      </c>
      <c r="G12" s="5" t="inlineStr">
        <is>
          <t>Early</t>
        </is>
      </c>
      <c r="H12" s="5" t="inlineStr">
        <is>
          <t>M=low score</t>
        </is>
      </c>
    </row>
    <row r="13">
      <c r="A13" s="5" t="inlineStr">
        <is>
          <t>TD-RBL-004</t>
        </is>
      </c>
      <c r="B13" s="5" t="inlineStr">
        <is>
          <t>DE190533</t>
        </is>
      </c>
      <c r="C13" s="5" t="inlineStr">
        <is>
          <t>EV001</t>
        </is>
      </c>
      <c r="D13" s="5" t="inlineStr">
        <is>
          <t>Exact</t>
        </is>
      </c>
      <c r="E13" s="5" t="n">
        <v>9</v>
      </c>
      <c r="F13" s="5" t="n">
        <v>95</v>
      </c>
      <c r="G13" s="5" t="inlineStr">
        <is>
          <t>Early</t>
        </is>
      </c>
      <c r="H13" s="5" t="inlineStr">
        <is>
          <t>S=100</t>
        </is>
      </c>
    </row>
    <row r="14">
      <c r="A14" s="5" t="inlineStr">
        <is>
          <t>TD-RBL-005</t>
        </is>
      </c>
      <c r="B14" s="5" t="inlineStr">
        <is>
          <t>DE190538</t>
        </is>
      </c>
      <c r="C14" s="5" t="inlineStr">
        <is>
          <t>EV001</t>
        </is>
      </c>
      <c r="D14" s="5" t="inlineStr">
        <is>
          <t>Related</t>
        </is>
      </c>
      <c r="E14" s="5" t="n">
        <v>1</v>
      </c>
      <c r="F14" s="5" t="n">
        <v>20</v>
      </c>
      <c r="G14" s="5" t="inlineStr">
        <is>
          <t>Late</t>
        </is>
      </c>
      <c r="H14" s="5" t="inlineStr">
        <is>
          <t>Low semester score</t>
        </is>
      </c>
    </row>
    <row r="15">
      <c r="A15" s="5" t="inlineStr">
        <is>
          <t>TD-RBL-006</t>
        </is>
      </c>
      <c r="B15" s="5" t="inlineStr">
        <is>
          <t>DE190539</t>
        </is>
      </c>
      <c r="C15" s="5" t="inlineStr">
        <is>
          <t>EV001</t>
        </is>
      </c>
      <c r="D15" s="5" t="inlineStr">
        <is>
          <t>Related</t>
        </is>
      </c>
      <c r="E15" s="5" t="n">
        <v>6</v>
      </c>
      <c r="F15" s="5" t="n">
        <v>150</v>
      </c>
      <c r="G15" s="5" t="inlineStr">
        <is>
          <t>Mid</t>
        </is>
      </c>
      <c r="H15" s="5" t="inlineStr">
        <is>
          <t>Points normalized/capped</t>
        </is>
      </c>
    </row>
    <row r="16">
      <c r="A16" s="5" t="inlineStr">
        <is>
          <t>TD-RBL-007</t>
        </is>
      </c>
      <c r="B16" s="5" t="inlineStr">
        <is>
          <t>A/B/C/D</t>
        </is>
      </c>
      <c r="C16" s="5" t="inlineStr">
        <is>
          <t>EV001</t>
        </is>
      </c>
      <c r="D16" s="5" t="inlineStr">
        <is>
          <t>Mixed</t>
        </is>
      </c>
      <c r="E16" s="5" t="inlineStr">
        <is>
          <t>Mixed</t>
        </is>
      </c>
      <c r="F16" s="5" t="inlineStr">
        <is>
          <t>Mixed</t>
        </is>
      </c>
      <c r="G16" s="5" t="inlineStr">
        <is>
          <t>Mixed</t>
        </is>
      </c>
      <c r="H16" s="5" t="inlineStr">
        <is>
          <t>Ranking sorted descending</t>
        </is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6" customWidth="1" min="5" max="5"/>
    <col width="14" customWidth="1" min="6" max="6"/>
    <col width="20" customWidth="1" min="7" max="7"/>
    <col width="20" customWidth="1" min="8" max="8"/>
    <col width="20" customWidth="1" min="9" max="9"/>
    <col width="34" customWidth="1" min="10" max="10"/>
  </cols>
  <sheetData>
    <row r="1">
      <c r="A1" s="4" t="inlineStr">
        <is>
          <t>Data ID</t>
        </is>
      </c>
      <c r="B1" s="4" t="inlineStr">
        <is>
          <t>Event ID</t>
        </is>
      </c>
      <c r="C1" s="4" t="inlineStr">
        <is>
          <t>Student Code</t>
        </is>
      </c>
      <c r="D1" s="4" t="inlineStr">
        <is>
          <t>QR Token</t>
        </is>
      </c>
      <c r="E1" s="4" t="inlineStr">
        <is>
          <t>Token Type</t>
        </is>
      </c>
      <c r="F1" s="4" t="inlineStr">
        <is>
          <t>Token Status</t>
        </is>
      </c>
      <c r="G1" s="4" t="inlineStr">
        <is>
          <t>Created At</t>
        </is>
      </c>
      <c r="H1" s="4" t="inlineStr">
        <is>
          <t>Expired At</t>
        </is>
      </c>
      <c r="I1" s="4" t="inlineStr">
        <is>
          <t>Attendance Before</t>
        </is>
      </c>
      <c r="J1" s="4" t="inlineStr">
        <is>
          <t>Expected Result</t>
        </is>
      </c>
    </row>
    <row r="2">
      <c r="A2" s="5" t="inlineStr">
        <is>
          <t>TD-ATT-001</t>
        </is>
      </c>
      <c r="B2" s="5" t="inlineStr">
        <is>
          <t>EV001</t>
        </is>
      </c>
      <c r="C2" s="5" t="inlineStr">
        <is>
          <t>N/A</t>
        </is>
      </c>
      <c r="D2" s="5" t="inlineStr">
        <is>
          <t>QR_ACTIVE_001</t>
        </is>
      </c>
      <c r="E2" s="5" t="inlineStr">
        <is>
          <t>CHECK_IN</t>
        </is>
      </c>
      <c r="F2" s="5" t="inlineStr">
        <is>
          <t>ACTIVE</t>
        </is>
      </c>
      <c r="G2" s="5" t="inlineStr">
        <is>
          <t>2026-06-15 08:55</t>
        </is>
      </c>
      <c r="H2" s="5" t="inlineStr">
        <is>
          <t>2026-06-15 08:58</t>
        </is>
      </c>
      <c r="I2" s="5" t="inlineStr">
        <is>
          <t>N/A</t>
        </is>
      </c>
      <c r="J2" s="5" t="inlineStr">
        <is>
          <t>QR displayed on department screen</t>
        </is>
      </c>
    </row>
    <row r="3">
      <c r="A3" s="5" t="inlineStr">
        <is>
          <t>TD-ATT-002</t>
        </is>
      </c>
      <c r="B3" s="5" t="inlineStr">
        <is>
          <t>EV001</t>
        </is>
      </c>
      <c r="C3" s="5" t="inlineStr">
        <is>
          <t>DE190533</t>
        </is>
      </c>
      <c r="D3" s="5" t="inlineStr">
        <is>
          <t>QR_EXPIRED_001</t>
        </is>
      </c>
      <c r="E3" s="5" t="inlineStr">
        <is>
          <t>CHECK_IN</t>
        </is>
      </c>
      <c r="F3" s="5" t="inlineStr">
        <is>
          <t>EXPIRED</t>
        </is>
      </c>
      <c r="G3" s="5" t="inlineStr">
        <is>
          <t>2026-06-15 08:50</t>
        </is>
      </c>
      <c r="H3" s="5" t="inlineStr">
        <is>
          <t>2026-06-15 08:53</t>
        </is>
      </c>
      <c r="I3" s="5" t="inlineStr">
        <is>
          <t>REGISTERED</t>
        </is>
      </c>
      <c r="J3" s="5" t="inlineStr">
        <is>
          <t>Reject expired QR</t>
        </is>
      </c>
    </row>
    <row r="4">
      <c r="A4" s="5" t="inlineStr">
        <is>
          <t>TD-ATT-003</t>
        </is>
      </c>
      <c r="B4" s="5" t="inlineStr">
        <is>
          <t>EV001</t>
        </is>
      </c>
      <c r="C4" s="5" t="inlineStr">
        <is>
          <t>N/A</t>
        </is>
      </c>
      <c r="D4" s="5" t="inlineStr">
        <is>
          <t>QR_ACTIVE_002</t>
        </is>
      </c>
      <c r="E4" s="5" t="inlineStr">
        <is>
          <t>CHECK_IN</t>
        </is>
      </c>
      <c r="F4" s="5" t="inlineStr">
        <is>
          <t>ACTIVE</t>
        </is>
      </c>
      <c r="G4" s="5" t="inlineStr">
        <is>
          <t>2026-06-15 08:58</t>
        </is>
      </c>
      <c r="H4" s="5" t="inlineStr">
        <is>
          <t>2026-06-15 09:01</t>
        </is>
      </c>
      <c r="I4" s="5" t="inlineStr">
        <is>
          <t>N/A</t>
        </is>
      </c>
      <c r="J4" s="5" t="inlineStr">
        <is>
          <t>QR refreshed after 3 minutes</t>
        </is>
      </c>
    </row>
    <row r="5">
      <c r="A5" s="5" t="inlineStr">
        <is>
          <t>TD-ATT-004</t>
        </is>
      </c>
      <c r="B5" s="5" t="inlineStr">
        <is>
          <t>EV001</t>
        </is>
      </c>
      <c r="C5" s="5" t="inlineStr">
        <is>
          <t>DE190533</t>
        </is>
      </c>
      <c r="D5" s="5" t="inlineStr">
        <is>
          <t>QR_ACTIVE_002</t>
        </is>
      </c>
      <c r="E5" s="5" t="inlineStr">
        <is>
          <t>CHECK_IN</t>
        </is>
      </c>
      <c r="F5" s="5" t="inlineStr">
        <is>
          <t>ACTIVE</t>
        </is>
      </c>
      <c r="G5" s="5" t="inlineStr">
        <is>
          <t>2026-06-15 08:58</t>
        </is>
      </c>
      <c r="H5" s="5" t="inlineStr">
        <is>
          <t>2026-06-15 09:01</t>
        </is>
      </c>
      <c r="I5" s="5" t="inlineStr">
        <is>
          <t>REGISTERED</t>
        </is>
      </c>
      <c r="J5" s="5" t="inlineStr">
        <is>
          <t>Status becomes CHECKED_IN</t>
        </is>
      </c>
    </row>
    <row r="6">
      <c r="A6" s="5" t="inlineStr">
        <is>
          <t>TD-ATT-005</t>
        </is>
      </c>
      <c r="B6" s="5" t="inlineStr">
        <is>
          <t>EV001</t>
        </is>
      </c>
      <c r="C6" s="5" t="inlineStr">
        <is>
          <t>DE190533</t>
        </is>
      </c>
      <c r="D6" s="5" t="inlineStr">
        <is>
          <t>FAKE999</t>
        </is>
      </c>
      <c r="E6" s="5" t="inlineStr">
        <is>
          <t>CHECK_IN</t>
        </is>
      </c>
      <c r="F6" s="5" t="inlineStr">
        <is>
          <t>INVALID</t>
        </is>
      </c>
      <c r="G6" s="5" t="inlineStr">
        <is>
          <t>N/A</t>
        </is>
      </c>
      <c r="H6" s="5" t="inlineStr">
        <is>
          <t>N/A</t>
        </is>
      </c>
      <c r="I6" s="5" t="inlineStr">
        <is>
          <t>REGISTERED</t>
        </is>
      </c>
      <c r="J6" s="5" t="inlineStr">
        <is>
          <t>Reject invalid token</t>
        </is>
      </c>
    </row>
    <row r="7">
      <c r="A7" s="5" t="inlineStr">
        <is>
          <t>TD-ATT-006</t>
        </is>
      </c>
      <c r="B7" s="5" t="inlineStr">
        <is>
          <t>EV001</t>
        </is>
      </c>
      <c r="C7" s="5" t="inlineStr">
        <is>
          <t>DE190533</t>
        </is>
      </c>
      <c r="D7" s="5" t="inlineStr">
        <is>
          <t>QR_ACTIVE_002</t>
        </is>
      </c>
      <c r="E7" s="5" t="inlineStr">
        <is>
          <t>CHECK_IN</t>
        </is>
      </c>
      <c r="F7" s="5" t="inlineStr">
        <is>
          <t>ACTIVE</t>
        </is>
      </c>
      <c r="G7" s="5" t="inlineStr">
        <is>
          <t>2026-06-15 08:58</t>
        </is>
      </c>
      <c r="H7" s="5" t="inlineStr">
        <is>
          <t>2026-06-15 09:01</t>
        </is>
      </c>
      <c r="I7" s="5" t="inlineStr">
        <is>
          <t>CHECKED_IN</t>
        </is>
      </c>
      <c r="J7" s="5" t="inlineStr">
        <is>
          <t>Reject duplicate check-in</t>
        </is>
      </c>
    </row>
    <row r="8">
      <c r="A8" s="5" t="inlineStr">
        <is>
          <t>TD-ATT-007</t>
        </is>
      </c>
      <c r="B8" s="5" t="inlineStr">
        <is>
          <t>EV001</t>
        </is>
      </c>
      <c r="C8" s="5" t="inlineStr">
        <is>
          <t>DE190540</t>
        </is>
      </c>
      <c r="D8" s="5" t="inlineStr">
        <is>
          <t>QR_ACTIVE_002</t>
        </is>
      </c>
      <c r="E8" s="5" t="inlineStr">
        <is>
          <t>CHECK_IN</t>
        </is>
      </c>
      <c r="F8" s="5" t="inlineStr">
        <is>
          <t>ACTIVE</t>
        </is>
      </c>
      <c r="G8" s="5" t="inlineStr">
        <is>
          <t>2026-06-15 08:58</t>
        </is>
      </c>
      <c r="H8" s="5" t="inlineStr">
        <is>
          <t>2026-06-15 09:01</t>
        </is>
      </c>
      <c r="I8" s="5" t="inlineStr">
        <is>
          <t>NOT_REGISTERED</t>
        </is>
      </c>
      <c r="J8" s="5" t="inlineStr">
        <is>
          <t>Reject unregistered student</t>
        </is>
      </c>
    </row>
    <row r="9">
      <c r="A9" s="5" t="inlineStr">
        <is>
          <t>TD-ATT-008</t>
        </is>
      </c>
      <c r="B9" s="5" t="inlineStr">
        <is>
          <t>EV001</t>
        </is>
      </c>
      <c r="C9" s="5" t="inlineStr">
        <is>
          <t>DE190533</t>
        </is>
      </c>
      <c r="D9" s="5" t="inlineStr">
        <is>
          <t>MID_ACTIVE_001</t>
        </is>
      </c>
      <c r="E9" s="5" t="inlineStr">
        <is>
          <t>MID_SESSION</t>
        </is>
      </c>
      <c r="F9" s="5" t="inlineStr">
        <is>
          <t>ACTIVE</t>
        </is>
      </c>
      <c r="G9" s="5" t="inlineStr">
        <is>
          <t>2026-06-15 09:30</t>
        </is>
      </c>
      <c r="H9" s="5" t="inlineStr">
        <is>
          <t>2026-06-15 09:33</t>
        </is>
      </c>
      <c r="I9" s="5" t="inlineStr">
        <is>
          <t>CHECKED_IN</t>
        </is>
      </c>
      <c r="J9" s="5" t="inlineStr">
        <is>
          <t>Status becomes MID_VERIFIED</t>
        </is>
      </c>
    </row>
  </sheetData>
  <autoFilter ref="A1:J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48" customWidth="1" min="4" max="4"/>
    <col width="35" customWidth="1" min="5" max="5"/>
    <col width="20" customWidth="1" min="6" max="6"/>
    <col width="22" customWidth="1" min="7" max="7"/>
    <col width="32" customWidth="1" min="8" max="8"/>
  </cols>
  <sheetData>
    <row r="1">
      <c r="A1" s="4" t="inlineStr">
        <is>
          <t>Data ID</t>
        </is>
      </c>
      <c r="B1" s="4" t="inlineStr">
        <is>
          <t>Event ID</t>
        </is>
      </c>
      <c r="C1" s="4" t="inlineStr">
        <is>
          <t>Question/Feedback Type</t>
        </is>
      </c>
      <c r="D1" s="4" t="inlineStr">
        <is>
          <t>Question Text / Data</t>
        </is>
      </c>
      <c r="E1" s="4" t="inlineStr">
        <is>
          <t>Options or Value</t>
        </is>
      </c>
      <c r="F1" s="4" t="inlineStr">
        <is>
          <t>Correct Answer</t>
        </is>
      </c>
      <c r="G1" s="4" t="inlineStr">
        <is>
          <t>Student Response</t>
        </is>
      </c>
      <c r="H1" s="4" t="inlineStr">
        <is>
          <t>Expected Result</t>
        </is>
      </c>
    </row>
    <row r="2">
      <c r="A2" s="5" t="inlineStr">
        <is>
          <t>TD-QUIZ-001</t>
        </is>
      </c>
      <c r="B2" s="5" t="inlineStr">
        <is>
          <t>EV001</t>
        </is>
      </c>
      <c r="C2" s="5" t="inlineStr">
        <is>
          <t>Multiple Choice</t>
        </is>
      </c>
      <c r="D2" s="5" t="inlineStr">
        <is>
          <t>What is the main topic of the event?</t>
        </is>
      </c>
      <c r="E2" s="5" t="inlineStr">
        <is>
          <t>A. AI  B. Marketing  C. Finance  D. HR</t>
        </is>
      </c>
      <c r="F2" s="5" t="inlineStr">
        <is>
          <t>A</t>
        </is>
      </c>
      <c r="G2" s="5" t="inlineStr">
        <is>
          <t>A</t>
        </is>
      </c>
      <c r="H2" s="5" t="inlineStr">
        <is>
          <t>Question saved/answer correct</t>
        </is>
      </c>
    </row>
    <row r="3">
      <c r="A3" s="5" t="inlineStr">
        <is>
          <t>TD-QUIZ-002</t>
        </is>
      </c>
      <c r="B3" s="5" t="inlineStr">
        <is>
          <t>EV001</t>
        </is>
      </c>
      <c r="C3" s="5" t="inlineStr">
        <is>
          <t>Question Pool</t>
        </is>
      </c>
      <c r="D3" s="5" t="inlineStr">
        <is>
          <t>20 quiz questions available; system randomly selects 5</t>
        </is>
      </c>
      <c r="E3" s="5" t="inlineStr">
        <is>
          <t>Limit = 5</t>
        </is>
      </c>
      <c r="F3" s="5" t="inlineStr">
        <is>
          <t>N/A</t>
        </is>
      </c>
      <c r="G3" s="5" t="inlineStr">
        <is>
          <t>N/A</t>
        </is>
      </c>
      <c r="H3" s="5" t="inlineStr">
        <is>
          <t>Random 5 questions displayed</t>
        </is>
      </c>
    </row>
    <row r="4">
      <c r="A4" s="5" t="inlineStr">
        <is>
          <t>TD-QUIZ-003</t>
        </is>
      </c>
      <c r="B4" s="5" t="inlineStr">
        <is>
          <t>EV001</t>
        </is>
      </c>
      <c r="C4" s="5" t="inlineStr">
        <is>
          <t>Multiple Choice Set</t>
        </is>
      </c>
      <c r="D4" s="5" t="inlineStr">
        <is>
          <t>5 selected questions</t>
        </is>
      </c>
      <c r="E4" s="5" t="inlineStr">
        <is>
          <t>Answers all correct</t>
        </is>
      </c>
      <c r="F4" s="5" t="inlineStr">
        <is>
          <t>All correct</t>
        </is>
      </c>
      <c r="G4" s="5" t="inlineStr">
        <is>
          <t>All correct</t>
        </is>
      </c>
      <c r="H4" s="5" t="inlineStr">
        <is>
          <t>Full quiz score</t>
        </is>
      </c>
    </row>
    <row r="5">
      <c r="A5" s="5" t="inlineStr">
        <is>
          <t>TD-QUIZ-004</t>
        </is>
      </c>
      <c r="B5" s="5" t="inlineStr">
        <is>
          <t>EV001</t>
        </is>
      </c>
      <c r="C5" s="5" t="inlineStr">
        <is>
          <t>Required Answer</t>
        </is>
      </c>
      <c r="D5" s="5" t="inlineStr">
        <is>
          <t>One answer left blank</t>
        </is>
      </c>
      <c r="E5" s="5" t="inlineStr">
        <is>
          <t>Blank answer</t>
        </is>
      </c>
      <c r="F5" s="5" t="inlineStr">
        <is>
          <t>N/A</t>
        </is>
      </c>
      <c r="G5" s="5" t="inlineStr">
        <is>
          <t>Blank</t>
        </is>
      </c>
      <c r="H5" s="5" t="inlineStr">
        <is>
          <t>Show required validation</t>
        </is>
      </c>
    </row>
    <row r="6">
      <c r="A6" s="5" t="inlineStr">
        <is>
          <t>TD-FB-001</t>
        </is>
      </c>
      <c r="B6" s="5" t="inlineStr">
        <is>
          <t>EV001</t>
        </is>
      </c>
      <c r="C6" s="5" t="inlineStr">
        <is>
          <t>Rating + Comment</t>
        </is>
      </c>
      <c r="D6" s="5" t="inlineStr">
        <is>
          <t>Overall rating and comment</t>
        </is>
      </c>
      <c r="E6" s="5" t="inlineStr">
        <is>
          <t>Rating 5; comment Good event</t>
        </is>
      </c>
      <c r="F6" s="5" t="inlineStr">
        <is>
          <t>N/A</t>
        </is>
      </c>
      <c r="G6" s="5" t="inlineStr">
        <is>
          <t>Rating 5</t>
        </is>
      </c>
      <c r="H6" s="5" t="inlineStr">
        <is>
          <t>Feedback saved</t>
        </is>
      </c>
    </row>
    <row r="7">
      <c r="A7" s="5" t="inlineStr">
        <is>
          <t>TD-FB-002</t>
        </is>
      </c>
      <c r="B7" s="5" t="inlineStr">
        <is>
          <t>EV001</t>
        </is>
      </c>
      <c r="C7" s="5" t="inlineStr">
        <is>
          <t>Duplicate Feedback</t>
        </is>
      </c>
      <c r="D7" s="5" t="inlineStr">
        <is>
          <t>Same student submits twice</t>
        </is>
      </c>
      <c r="E7" s="5" t="inlineStr">
        <is>
          <t>Same event/student</t>
        </is>
      </c>
      <c r="F7" s="5" t="inlineStr">
        <is>
          <t>N/A</t>
        </is>
      </c>
      <c r="G7" s="5" t="inlineStr">
        <is>
          <t>Second submit</t>
        </is>
      </c>
      <c r="H7" s="5" t="inlineStr">
        <is>
          <t>Block duplicate or update existing</t>
        </is>
      </c>
    </row>
    <row r="8">
      <c r="A8" s="5" t="inlineStr">
        <is>
          <t>TD-CHECKOUT-001</t>
        </is>
      </c>
      <c r="B8" s="5" t="inlineStr">
        <is>
          <t>EV001</t>
        </is>
      </c>
      <c r="C8" s="5" t="inlineStr">
        <is>
          <t>Checkout</t>
        </is>
      </c>
      <c r="D8" s="5" t="inlineStr">
        <is>
          <t>Valid quiz and feedback submitted</t>
        </is>
      </c>
      <c r="E8" s="5" t="inlineStr">
        <is>
          <t>Quiz score + feedback exists</t>
        </is>
      </c>
      <c r="F8" s="5" t="inlineStr">
        <is>
          <t>N/A</t>
        </is>
      </c>
      <c r="G8" s="5" t="inlineStr">
        <is>
          <t>Submit checkout</t>
        </is>
      </c>
      <c r="H8" s="5" t="inlineStr">
        <is>
          <t>Attendance becomes COMPLETED</t>
        </is>
      </c>
    </row>
  </sheetData>
  <autoFilter ref="A1:H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52" customWidth="1" min="4" max="4"/>
    <col width="48" customWidth="1" min="5" max="5"/>
  </cols>
  <sheetData>
    <row r="1">
      <c r="A1" s="4" t="inlineStr">
        <is>
          <t>Data ID</t>
        </is>
      </c>
      <c r="B1" s="4" t="inlineStr">
        <is>
          <t>Event ID</t>
        </is>
      </c>
      <c r="C1" s="4" t="inlineStr">
        <is>
          <t>Metric / Email / Report</t>
        </is>
      </c>
      <c r="D1" s="4" t="inlineStr">
        <is>
          <t>Input Data</t>
        </is>
      </c>
      <c r="E1" s="4" t="inlineStr">
        <is>
          <t>Expected Output</t>
        </is>
      </c>
    </row>
    <row r="2">
      <c r="A2" s="5" t="inlineStr">
        <is>
          <t>TD-MAIL-001</t>
        </is>
      </c>
      <c r="B2" s="5" t="inlineStr">
        <is>
          <t>EV001</t>
        </is>
      </c>
      <c r="C2" s="5" t="inlineStr">
        <is>
          <t>Registration confirmation email</t>
        </is>
      </c>
      <c r="D2" s="5" t="inlineStr">
        <is>
          <t>Student DE190533 registers EV001</t>
        </is>
      </c>
      <c r="E2" s="5" t="inlineStr">
        <is>
          <t>Email log saved; sentStatus SUCCESS/PENDING based on SMTP</t>
        </is>
      </c>
    </row>
    <row r="3">
      <c r="A3" s="5" t="inlineStr">
        <is>
          <t>TD-DASH-001</t>
        </is>
      </c>
      <c r="B3" s="5" t="inlineStr">
        <is>
          <t>EV001</t>
        </is>
      </c>
      <c r="C3" s="5" t="inlineStr">
        <is>
          <t>Attendance dashboard</t>
        </is>
      </c>
      <c r="D3" s="5" t="inlineStr">
        <is>
          <t>Registered 50; Checked-in 40; Completed 35; Absent 10</t>
        </is>
      </c>
      <c r="E3" s="5" t="inlineStr">
        <is>
          <t>Dashboard cards show correct numbers and rates</t>
        </is>
      </c>
    </row>
    <row r="4">
      <c r="A4" s="5" t="inlineStr">
        <is>
          <t>TD-DASH-002</t>
        </is>
      </c>
      <c r="B4" s="5" t="inlineStr">
        <is>
          <t>EV001</t>
        </is>
      </c>
      <c r="C4" s="5" t="inlineStr">
        <is>
          <t>Feedback statistics</t>
        </is>
      </c>
      <c r="D4" s="5" t="inlineStr">
        <is>
          <t>Ratings: 5,4,4,3,5; comments available</t>
        </is>
      </c>
      <c r="E4" s="5" t="inlineStr">
        <is>
          <t>Average rating calculated; comments listed</t>
        </is>
      </c>
    </row>
    <row r="5">
      <c r="A5" s="5" t="inlineStr">
        <is>
          <t>TD-REPORT-001</t>
        </is>
      </c>
      <c r="B5" s="5" t="inlineStr">
        <is>
          <t>EV001</t>
        </is>
      </c>
      <c r="C5" s="5" t="inlineStr">
        <is>
          <t>Export report</t>
        </is>
      </c>
      <c r="D5" s="5" t="inlineStr">
        <is>
          <t>Registration + attendance + feedback data</t>
        </is>
      </c>
      <c r="E5" s="5" t="inlineStr">
        <is>
          <t>Excel/PDF report downloaded with correct event data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36" customWidth="1" min="4" max="4"/>
    <col width="40" customWidth="1" min="5" max="5"/>
  </cols>
  <sheetData>
    <row r="1">
      <c r="A1" s="4" t="inlineStr">
        <is>
          <t>Data ID</t>
        </is>
      </c>
      <c r="B1" s="4" t="inlineStr">
        <is>
          <t>Scenario</t>
        </is>
      </c>
      <c r="C1" s="4" t="inlineStr">
        <is>
          <t>Role / User</t>
        </is>
      </c>
      <c r="D1" s="4" t="inlineStr">
        <is>
          <t>URL or Input</t>
        </is>
      </c>
      <c r="E1" s="4" t="inlineStr">
        <is>
          <t>Expected Result</t>
        </is>
      </c>
    </row>
    <row r="2">
      <c r="A2" s="5" t="inlineStr">
        <is>
          <t>TD-SEC-001</t>
        </is>
      </c>
      <c r="B2" s="5" t="inlineStr">
        <is>
          <t>Access protected page without login</t>
        </is>
      </c>
      <c r="C2" s="5" t="inlineStr">
        <is>
          <t>Anonymous</t>
        </is>
      </c>
      <c r="D2" s="5" t="inlineStr">
        <is>
          <t>/student/events</t>
        </is>
      </c>
      <c r="E2" s="5" t="inlineStr">
        <is>
          <t>Redirect to login</t>
        </is>
      </c>
    </row>
    <row r="3">
      <c r="A3" s="5" t="inlineStr">
        <is>
          <t>TD-SEC-002</t>
        </is>
      </c>
      <c r="B3" s="5" t="inlineStr">
        <is>
          <t>Student accesses Department page</t>
        </is>
      </c>
      <c r="C3" s="5" t="inlineStr">
        <is>
          <t>STUDENT</t>
        </is>
      </c>
      <c r="D3" s="5" t="inlineStr">
        <is>
          <t>/department/events</t>
        </is>
      </c>
      <c r="E3" s="5" t="inlineStr">
        <is>
          <t>403 Access denied</t>
        </is>
      </c>
    </row>
    <row r="4">
      <c r="A4" s="5" t="inlineStr">
        <is>
          <t>TD-SEC-003</t>
        </is>
      </c>
      <c r="B4" s="5" t="inlineStr">
        <is>
          <t>Department accesses Admin page</t>
        </is>
      </c>
      <c r="C4" s="5" t="inlineStr">
        <is>
          <t>DEPARTMENT</t>
        </is>
      </c>
      <c r="D4" s="5" t="inlineStr">
        <is>
          <t>/admin/users</t>
        </is>
      </c>
      <c r="E4" s="5" t="inlineStr">
        <is>
          <t>403 Access denied</t>
        </is>
      </c>
    </row>
    <row r="5">
      <c r="A5" s="5" t="inlineStr">
        <is>
          <t>TD-SEC-004</t>
        </is>
      </c>
      <c r="B5" s="5" t="inlineStr">
        <is>
          <t>SQL injection attempt in login</t>
        </is>
      </c>
      <c r="C5" s="5" t="inlineStr">
        <is>
          <t>Anonymous</t>
        </is>
      </c>
      <c r="D5" s="5" t="inlineStr">
        <is>
          <t>email: ' OR '1'='1</t>
        </is>
      </c>
      <c r="E5" s="5" t="inlineStr">
        <is>
          <t>Login rejected; no SQL error</t>
        </is>
      </c>
    </row>
    <row r="6">
      <c r="A6" s="5" t="inlineStr">
        <is>
          <t>TD-SEC-005</t>
        </is>
      </c>
      <c r="B6" s="5" t="inlineStr">
        <is>
          <t>XSS in feedback comment</t>
        </is>
      </c>
      <c r="C6" s="5" t="inlineStr">
        <is>
          <t>STUDENT</t>
        </is>
      </c>
      <c r="D6" s="5" t="inlineStr">
        <is>
          <t>&lt;script&gt;alert('x')&lt;/script&gt;</t>
        </is>
      </c>
      <c r="E6" s="5" t="inlineStr">
        <is>
          <t>Input escaped/sanitized</t>
        </is>
      </c>
    </row>
    <row r="7">
      <c r="A7" s="5" t="inlineStr">
        <is>
          <t>TD-SEC-006</t>
        </is>
      </c>
      <c r="B7" s="5" t="inlineStr">
        <is>
          <t>Expired session action</t>
        </is>
      </c>
      <c r="C7" s="5" t="inlineStr">
        <is>
          <t>Any user</t>
        </is>
      </c>
      <c r="D7" s="5" t="inlineStr">
        <is>
          <t>Submit after session timeout</t>
        </is>
      </c>
      <c r="E7" s="5" t="inlineStr">
        <is>
          <t>Redirect to login / require re-authentication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2026-06-01T07:28:01Z</dcterms:created>
  <dcterms:modified xmlns:dcterms="http://purl.org/dc/terms/" xmlns:xsi="http://www.w3.org/2001/XMLSchema-instance" xsi:type="dcterms:W3CDTF">2026-06-01T07:28:01Z</dcterms:modified>
</cp:coreProperties>
</file>